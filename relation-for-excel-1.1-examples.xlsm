
<file path=[Content_Types].xml><?xml version="1.0" encoding="utf-8"?>
<Types xmlns="http://schemas.openxmlformats.org/package/2006/content-types">
  <Default Extension="xml" ContentType="application/xml"/>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0910"/>
  <workbookPr showInkAnnotation="0" codeName="ThisWorkbook" autoCompressPictures="0"/>
  <bookViews>
    <workbookView xWindow="1480" yWindow="40" windowWidth="25600" windowHeight="16060" tabRatio="500"/>
  </bookViews>
  <sheets>
    <sheet name="Presentation" sheetId="2" r:id="rId1"/>
    <sheet name="Computer store" sheetId="3" r:id="rId2"/>
    <sheet name="Employees" sheetId="6" r:id="rId3"/>
    <sheet name="Warehouse" sheetId="7" r:id="rId4"/>
    <sheet name="Pieces and Providers" sheetId="8" r:id="rId5"/>
    <sheet name="Acounts" sheetId="9" r:id="rId6"/>
    <sheet name="Unit Test" sheetId="4" r:id="rId7"/>
  </sheets>
  <externalReferences>
    <externalReference r:id="rId8"/>
  </externalReference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B87" i="4" l="1"/>
  <c r="B86" i="4"/>
  <c r="B12" i="4"/>
  <c r="B85" i="4"/>
  <c r="B84" i="4"/>
  <c r="B83" i="4"/>
  <c r="B82" i="4"/>
  <c r="B81" i="4"/>
  <c r="B79" i="4"/>
  <c r="B78" i="4"/>
  <c r="B14" i="4"/>
  <c r="B13" i="4"/>
  <c r="B76" i="4"/>
  <c r="B75" i="4"/>
  <c r="B74" i="4"/>
  <c r="B73" i="4"/>
  <c r="B72" i="4"/>
  <c r="B71" i="4"/>
  <c r="B70" i="4"/>
  <c r="B69" i="4"/>
  <c r="B68" i="4"/>
  <c r="B67" i="4"/>
  <c r="B65" i="4"/>
  <c r="B64" i="4"/>
  <c r="B63" i="4"/>
  <c r="B62" i="4"/>
  <c r="B61" i="4"/>
  <c r="B60" i="4"/>
  <c r="B59" i="4"/>
  <c r="B57" i="4"/>
  <c r="B56" i="4"/>
  <c r="B55" i="4"/>
  <c r="B54" i="4"/>
  <c r="B53" i="4"/>
  <c r="B52" i="4"/>
  <c r="B28" i="4"/>
  <c r="A52" i="4"/>
  <c r="B51" i="4"/>
  <c r="B49" i="4"/>
  <c r="B48" i="4"/>
  <c r="B47" i="4"/>
  <c r="B46" i="4"/>
  <c r="B45" i="4"/>
  <c r="B44" i="4"/>
  <c r="B43" i="4"/>
  <c r="B42" i="4"/>
  <c r="B41" i="4"/>
  <c r="B39" i="4"/>
  <c r="B38" i="4"/>
  <c r="B37" i="4"/>
  <c r="B36" i="4"/>
  <c r="B35" i="4"/>
  <c r="B34" i="4"/>
  <c r="B33" i="4"/>
  <c r="B32" i="4"/>
  <c r="B31" i="4"/>
  <c r="B29" i="4"/>
  <c r="B27" i="4"/>
  <c r="B26" i="4"/>
  <c r="B25" i="4"/>
  <c r="B24" i="4"/>
  <c r="B23" i="4"/>
  <c r="B22" i="4"/>
  <c r="B21" i="4"/>
  <c r="B20" i="4"/>
  <c r="B19" i="4"/>
  <c r="B18" i="4"/>
  <c r="B16" i="4"/>
  <c r="B15" i="4"/>
  <c r="I57" i="9"/>
  <c r="I6" i="9"/>
  <c r="I7" i="9"/>
  <c r="I9" i="9"/>
  <c r="I8" i="9"/>
  <c r="I10" i="9"/>
  <c r="I11" i="9"/>
  <c r="I15" i="9"/>
  <c r="I19" i="9"/>
  <c r="I14" i="9"/>
  <c r="I18" i="9"/>
  <c r="I13" i="9"/>
  <c r="I17" i="9"/>
  <c r="I12" i="9"/>
  <c r="I16" i="9"/>
  <c r="I21" i="9"/>
  <c r="I23" i="9"/>
  <c r="J3" i="9"/>
  <c r="I20" i="9"/>
  <c r="I22" i="9"/>
  <c r="I3" i="9"/>
  <c r="H20" i="8"/>
  <c r="K37" i="8"/>
  <c r="J37" i="8"/>
  <c r="D20" i="8"/>
  <c r="I37" i="8"/>
  <c r="L20" i="8"/>
  <c r="H37" i="8"/>
  <c r="G37" i="8"/>
  <c r="J33" i="8"/>
  <c r="I33" i="8"/>
  <c r="H33" i="8"/>
  <c r="J30" i="8"/>
  <c r="I30" i="8"/>
  <c r="H30" i="8"/>
  <c r="H27" i="8"/>
  <c r="H24" i="8"/>
  <c r="D20" i="7"/>
  <c r="H45" i="7"/>
  <c r="H20" i="7"/>
  <c r="H43" i="7"/>
  <c r="H47" i="7"/>
  <c r="H41" i="7"/>
  <c r="H34" i="7"/>
  <c r="H37" i="7"/>
  <c r="H32" i="7"/>
  <c r="H30" i="7"/>
  <c r="H28" i="7"/>
  <c r="H26" i="7"/>
  <c r="H23" i="7"/>
  <c r="D22" i="6"/>
  <c r="H22" i="6"/>
  <c r="H50" i="6"/>
  <c r="H48" i="6"/>
  <c r="H46" i="6"/>
  <c r="H40" i="6"/>
  <c r="H44" i="6"/>
  <c r="H42" i="6"/>
  <c r="H38" i="6"/>
  <c r="H35" i="6"/>
  <c r="H33" i="6"/>
  <c r="H31" i="6"/>
  <c r="H29" i="6"/>
  <c r="H26" i="6"/>
  <c r="H24" i="6"/>
  <c r="G20" i="3"/>
  <c r="D20" i="3"/>
  <c r="G60" i="3"/>
  <c r="H60" i="3"/>
  <c r="I60" i="3"/>
  <c r="G58" i="3"/>
  <c r="G56" i="3"/>
  <c r="G54" i="3"/>
  <c r="G52" i="3"/>
  <c r="G49" i="3"/>
  <c r="G46" i="3"/>
  <c r="G42" i="3"/>
  <c r="G39" i="3"/>
  <c r="G36" i="3"/>
  <c r="G33" i="3"/>
  <c r="G29" i="3"/>
  <c r="G26" i="3"/>
  <c r="G23" i="3"/>
  <c r="G26" i="2"/>
  <c r="D26" i="2"/>
  <c r="D51" i="2"/>
  <c r="D59" i="2"/>
  <c r="D65" i="2"/>
  <c r="D103" i="2"/>
  <c r="G98" i="2"/>
  <c r="E97" i="2"/>
  <c r="E96" i="2"/>
  <c r="E95" i="2"/>
  <c r="E94" i="2"/>
  <c r="E93" i="2"/>
  <c r="E92" i="2"/>
  <c r="E91" i="2"/>
  <c r="E90" i="2"/>
  <c r="E89" i="2"/>
  <c r="G88" i="2"/>
  <c r="E88" i="2"/>
  <c r="D73" i="2" a="1"/>
  <c r="D73" i="2"/>
  <c r="E73" i="2"/>
  <c r="F73" i="2"/>
  <c r="G73" i="2"/>
  <c r="D74" i="2"/>
  <c r="E74" i="2"/>
  <c r="F74" i="2"/>
  <c r="G74" i="2"/>
  <c r="D75" i="2"/>
  <c r="E75" i="2"/>
  <c r="F75" i="2"/>
  <c r="G75" i="2"/>
  <c r="D76" i="2"/>
  <c r="E76" i="2"/>
  <c r="F76" i="2"/>
  <c r="G76" i="2"/>
  <c r="D77" i="2"/>
  <c r="E77" i="2"/>
  <c r="F77" i="2"/>
  <c r="G77" i="2"/>
  <c r="D78" i="2"/>
  <c r="E78" i="2"/>
  <c r="F78" i="2"/>
  <c r="G78" i="2"/>
  <c r="D79" i="2"/>
  <c r="E79" i="2"/>
  <c r="F79" i="2"/>
  <c r="G79" i="2"/>
  <c r="D80" i="2"/>
  <c r="E80" i="2"/>
  <c r="F80" i="2"/>
  <c r="G80" i="2"/>
  <c r="D81" i="2"/>
  <c r="E81" i="2"/>
  <c r="F81" i="2"/>
  <c r="G81" i="2"/>
  <c r="D82" i="2"/>
  <c r="E82" i="2"/>
  <c r="F82" i="2"/>
  <c r="G82" i="2"/>
  <c r="D83" i="2"/>
  <c r="E83" i="2"/>
  <c r="F83" i="2"/>
  <c r="G83" i="2"/>
  <c r="D84" i="2"/>
  <c r="E84" i="2"/>
  <c r="F84" i="2"/>
  <c r="G84" i="2"/>
  <c r="D85" i="2"/>
  <c r="E85" i="2"/>
  <c r="F85" i="2"/>
  <c r="G85" i="2"/>
  <c r="D69" i="2"/>
  <c r="G59" i="2"/>
  <c r="G51" i="2"/>
  <c r="D35" i="2"/>
  <c r="D39" i="2"/>
  <c r="D43" i="2"/>
  <c r="D47" i="2"/>
  <c r="G30" i="2"/>
  <c r="G43" i="2"/>
  <c r="G35" i="2"/>
  <c r="G39" i="2"/>
  <c r="H35" i="2"/>
  <c r="D30" i="2"/>
  <c r="D111" i="2"/>
  <c r="D109" i="2"/>
  <c r="D107" i="2"/>
  <c r="D29" i="2"/>
  <c r="D102" i="2"/>
  <c r="D64" i="2"/>
  <c r="D72" i="2"/>
  <c r="D68" i="2"/>
  <c r="C48" i="4"/>
  <c r="C57" i="4"/>
  <c r="C56" i="4"/>
  <c r="C55" i="4"/>
  <c r="C54" i="4"/>
  <c r="C59" i="4"/>
  <c r="C53" i="4"/>
  <c r="C52" i="4"/>
  <c r="C51" i="4"/>
  <c r="C24" i="4"/>
  <c r="C25" i="4"/>
  <c r="C26" i="4"/>
  <c r="C27" i="4"/>
  <c r="C28" i="4"/>
  <c r="C29" i="4"/>
  <c r="C30" i="4"/>
  <c r="C31" i="4"/>
  <c r="C32" i="4"/>
  <c r="C33" i="4"/>
  <c r="C34" i="4"/>
  <c r="C35" i="4"/>
  <c r="C36" i="4"/>
  <c r="C37" i="4"/>
  <c r="C38" i="4"/>
  <c r="C39" i="4"/>
  <c r="C23" i="4"/>
  <c r="C22" i="4"/>
  <c r="C21" i="4"/>
  <c r="C20" i="4"/>
  <c r="C19" i="4"/>
  <c r="C18" i="4"/>
  <c r="C15" i="4"/>
  <c r="C16" i="4"/>
  <c r="C82" i="4"/>
  <c r="C83" i="4"/>
  <c r="C84" i="4"/>
  <c r="C85" i="4"/>
  <c r="C81" i="4"/>
  <c r="C42" i="4"/>
  <c r="C43" i="4"/>
  <c r="C44" i="4"/>
  <c r="C45" i="4"/>
  <c r="C46" i="4"/>
  <c r="C47" i="4"/>
  <c r="C49" i="4"/>
  <c r="C41" i="4"/>
  <c r="C67" i="4"/>
  <c r="C68" i="4"/>
  <c r="C69" i="4"/>
  <c r="C70" i="4"/>
  <c r="C71" i="4"/>
  <c r="C72" i="4"/>
  <c r="C73" i="4"/>
  <c r="C74" i="4"/>
  <c r="C75" i="4"/>
  <c r="C76" i="4"/>
  <c r="C78" i="4"/>
  <c r="C79" i="4"/>
  <c r="C14" i="4"/>
  <c r="C13" i="4"/>
  <c r="C12" i="4"/>
  <c r="D38" i="2"/>
  <c r="G50" i="2"/>
  <c r="E87" i="2"/>
  <c r="I59" i="3"/>
  <c r="G59" i="3"/>
  <c r="G57" i="3"/>
  <c r="G55" i="3"/>
  <c r="G53" i="3"/>
  <c r="G48" i="3"/>
  <c r="G41" i="3"/>
  <c r="G38" i="3"/>
  <c r="G32" i="3"/>
  <c r="G38" i="2"/>
  <c r="G28" i="3"/>
  <c r="G45" i="3"/>
  <c r="G25" i="3"/>
  <c r="D50" i="2"/>
  <c r="G29" i="2"/>
  <c r="G58" i="2"/>
  <c r="D58" i="2"/>
  <c r="H59" i="3"/>
  <c r="G51" i="3"/>
  <c r="G35" i="3"/>
  <c r="G22" i="3"/>
  <c r="G34" i="2"/>
  <c r="H34" i="2"/>
  <c r="G19" i="3"/>
  <c r="D19" i="3"/>
  <c r="D46" i="2"/>
  <c r="G42" i="2"/>
  <c r="D42" i="2"/>
  <c r="D34" i="2"/>
  <c r="G25" i="2"/>
  <c r="D25" i="2"/>
</calcChain>
</file>

<file path=xl/sharedStrings.xml><?xml version="1.0" encoding="utf-8"?>
<sst xmlns="http://schemas.openxmlformats.org/spreadsheetml/2006/main" count="553" uniqueCount="423">
  <si>
    <t>code</t>
  </si>
  <si>
    <t>name</t>
  </si>
  <si>
    <t>Sony</t>
  </si>
  <si>
    <t>Creative Labs</t>
  </si>
  <si>
    <t>Hewlett Packard</t>
  </si>
  <si>
    <t>Fujitsu</t>
  </si>
  <si>
    <t>Winchester</t>
  </si>
  <si>
    <t>price</t>
  </si>
  <si>
    <t>manufacturer</t>
  </si>
  <si>
    <t>Hard drive</t>
  </si>
  <si>
    <t>Memory</t>
  </si>
  <si>
    <t>ZIP drive</t>
  </si>
  <si>
    <t>Floppy disk</t>
  </si>
  <si>
    <t>Monitor</t>
  </si>
  <si>
    <t>DVD drive</t>
  </si>
  <si>
    <t>CD drive</t>
  </si>
  <si>
    <t>Printer</t>
  </si>
  <si>
    <t>Toner cartridge</t>
  </si>
  <si>
    <t>DVD burner</t>
  </si>
  <si>
    <t>This macro provides functions to make simple relational algebra</t>
  </si>
  <si>
    <t>However, rows are not ordered (except with relOrder function) and do not have duplicates</t>
  </si>
  <si>
    <t>The functions are demonstrated here</t>
  </si>
  <si>
    <t>The relational model is simplified. A relation is defined as a 2d-table, columns have neither name nor type and are adressed by position (1-based)</t>
  </si>
  <si>
    <t>Iomega</t>
  </si>
  <si>
    <t>Our data</t>
  </si>
  <si>
    <t>Manufacturer data</t>
  </si>
  <si>
    <t>Products data</t>
  </si>
  <si>
    <t>Unlike other Excel solutions, this one is purely functional, not using macros.</t>
  </si>
  <si>
    <t>Relations are saved as text in one cell with :: als field and newline as row separator</t>
  </si>
  <si>
    <t>Define relation</t>
  </si>
  <si>
    <t>To see more than one line, format cell as wrap cell and align top</t>
  </si>
  <si>
    <t>Select</t>
  </si>
  <si>
    <t>Project</t>
  </si>
  <si>
    <t>Note that in a cell, the text cannot be more than 32k characters.</t>
  </si>
  <si>
    <t>Extend</t>
  </si>
  <si>
    <t>You can add columns with calculations based on existing columns</t>
  </si>
  <si>
    <t>Union</t>
  </si>
  <si>
    <t>Union only checks for arity and eliminates duplicates</t>
  </si>
  <si>
    <t>Difference</t>
  </si>
  <si>
    <t>Difference also checks for arity</t>
  </si>
  <si>
    <t>Join</t>
  </si>
  <si>
    <t>Join is actually a theta join, column numbers are based on the joined table</t>
  </si>
  <si>
    <t>For natural join set an equal condition and combine with AND, if there are more than one key</t>
  </si>
  <si>
    <t>For intersection set all colums equal</t>
  </si>
  <si>
    <t>For cross product set condition to true</t>
  </si>
  <si>
    <t>Self join is also possible</t>
  </si>
  <si>
    <t>Get values back to cell</t>
  </si>
  <si>
    <t>Current limitations</t>
  </si>
  <si>
    <t>matti@belle-nuit.com</t>
  </si>
  <si>
    <t>Some exercices</t>
  </si>
  <si>
    <t>From http://www.sofawiki.com/demo/queryfunction/the-computer-store</t>
  </si>
  <si>
    <t>Select the names and the prices of all the products in the store.</t>
  </si>
  <si>
    <t>Select the name of the products with a price less than or equal to $200.</t>
  </si>
  <si>
    <t>Select all the products with a price between $60 and $120.</t>
  </si>
  <si>
    <t>Formula style is english and comma based in conditions</t>
  </si>
  <si>
    <t>Select the name and price in cents (i.e., the price must be multiplied by 100).</t>
  </si>
  <si>
    <t>Compute the average price of all the products.</t>
  </si>
  <si>
    <t>Compute the average price of all products with manufacturer code equal to 2.</t>
  </si>
  <si>
    <t>Compute the number of products with a price larger than or equal to $180.</t>
  </si>
  <si>
    <t>Select the name and price of all products with a price larger than or equal to $180, and sort first by price (in descending order), and then by name (in ascending order).</t>
  </si>
  <si>
    <t>Select all the data from the products, including all the data for each product's manufacturer.</t>
  </si>
  <si>
    <t>Select the average price of each manufacturer's products, showing only the manufacturer's code.</t>
  </si>
  <si>
    <t>Select the average price of each manufacturer's products, showing the manufacturer's name.</t>
  </si>
  <si>
    <t>Select the names of manufacturer whose products have an average price larger than or equal to $150.</t>
  </si>
  <si>
    <t>Select the name and price of the cheapest product.</t>
  </si>
  <si>
    <t>Select the name of each manufacturer along with the name and price of its most expensive product.</t>
  </si>
  <si>
    <t>Order</t>
  </si>
  <si>
    <t>This is not really relational algebra, as sets have no order, but useful</t>
  </si>
  <si>
    <t>List separated by ::, each item is column, space and an order operator</t>
  </si>
  <si>
    <t>A alpha, Z alpha reverse, 9 value top down, 1 value bottom up</t>
  </si>
  <si>
    <t>more examples</t>
  </si>
  <si>
    <t>Columns are selected by position and preceded by dollar sign, if used as string and a percent sign, if used as number</t>
  </si>
  <si>
    <t>You may have to double quote strings inside the formula.</t>
  </si>
  <si>
    <t>Like</t>
  </si>
  <si>
    <t>F</t>
  </si>
  <si>
    <t>text</t>
  </si>
  <si>
    <t>f</t>
  </si>
  <si>
    <t>FFF</t>
  </si>
  <si>
    <t>pattern</t>
  </si>
  <si>
    <t>aBBBa</t>
  </si>
  <si>
    <t>a*a</t>
  </si>
  <si>
    <t>[A-Z]</t>
  </si>
  <si>
    <t>[!A-Z]</t>
  </si>
  <si>
    <t>a2a</t>
  </si>
  <si>
    <t>a#a</t>
  </si>
  <si>
    <t>aM5b</t>
  </si>
  <si>
    <t>a[L-P]#[!c-e]</t>
  </si>
  <si>
    <t>BAT123khg</t>
  </si>
  <si>
    <t>B?T*</t>
  </si>
  <si>
    <t>CAT123khg</t>
  </si>
  <si>
    <t>Like is not full regex, but has some limited syntax that might be useful for select and join</t>
  </si>
  <si>
    <t>Operators: ? (any once), * (any zero or more), # (number), [] list [!] exclude list</t>
  </si>
  <si>
    <t>Columns are separated by ::. You can also aggregate directly in project with COUNT, SUM, AVG, MIN, MAX</t>
  </si>
  <si>
    <t>One based row and column, set fourth parameter to 1 if you want to suppress error message</t>
  </si>
  <si>
    <t>Unit Test</t>
  </si>
  <si>
    <t>Formula</t>
  </si>
  <si>
    <t>Expected Value</t>
  </si>
  <si>
    <t>Test</t>
  </si>
  <si>
    <t>Result</t>
  </si>
  <si>
    <t>relRange(E1:G10)</t>
  </si>
  <si>
    <t>relRange(H1:I6)</t>
  </si>
  <si>
    <t>relRange("blabla")</t>
  </si>
  <si>
    <t>1::Hard drive::240
2::Memory::120
3::ZIP drive::150
4::Floppy disk::5
5::Monitor::240
6::DVD drive::180
7::CD drive::90
8::Printer::270
9::Toner cartridge::66
10::DVD burner::180</t>
  </si>
  <si>
    <t>1::Sony
2::Creative Labs
3::Hewlett Packard
4::Iomega
5::Fujitsu
6::Winchester</t>
  </si>
  <si>
    <t>5::Monitor::240</t>
  </si>
  <si>
    <t>1::Hard drive::240
2::Memory::120
3::ZIP drive::150</t>
  </si>
  <si>
    <t>2::Memory::120
5::Monitor::240</t>
  </si>
  <si>
    <t>relselect("%1&lt;4";$B$12)</t>
  </si>
  <si>
    <t>relselect("$1&lt;4";$B$12)</t>
  </si>
  <si>
    <t>relselect("LEFT($2,1)=""M""";$B$12)</t>
  </si>
  <si>
    <t>relselect("LEFT($2,1)=""X""";$B$12)</t>
  </si>
  <si>
    <t>relselect("LEFT(%2,1)=""M""";$B$12)</t>
  </si>
  <si>
    <t>x</t>
  </si>
  <si>
    <t>y</t>
  </si>
  <si>
    <t>1::Sony</t>
  </si>
  <si>
    <t>2::Creative Labs
3::Hewlett Packard
4::Iomega
x::Fujitsu
y::Winchester</t>
  </si>
  <si>
    <t>relRange(J2:K6)</t>
  </si>
  <si>
    <t>relRange("1::Sony")</t>
  </si>
  <si>
    <t>relselect("LEFT($2,1)=""X""";$C$3)</t>
  </si>
  <si>
    <t>relselect("LEFT($2,1)=""X""";$C$3:$C$4)</t>
  </si>
  <si>
    <t>relselect("%1&lt;4";"1::Sony")</t>
  </si>
  <si>
    <t>relselect("blabla";$B$12)</t>
  </si>
  <si>
    <t>relProject("1::2";$B$12)</t>
  </si>
  <si>
    <t>relProject("0::2";$B$12)</t>
  </si>
  <si>
    <t>relProject("3::2";$B$12)</t>
  </si>
  <si>
    <t>relProject("";$B$12)</t>
  </si>
  <si>
    <t>relProject("blabla";$B$12)</t>
  </si>
  <si>
    <t>relProject("1";$C$3)</t>
  </si>
  <si>
    <t>relProject("";$C$3)</t>
  </si>
  <si>
    <t>relProject("2";"1::Sony")</t>
  </si>
  <si>
    <t>1::Hard drive
2::Memory
3::ZIP drive
4::Floppy disk
5::Monitor
6::DVD drive
7::CD drive
8::Printer
9::Toner cartridge
10::DVD burner</t>
  </si>
  <si>
    <t>#ERROR COLUMN: 0</t>
  </si>
  <si>
    <t>240::Hard drive
120::Memory
150::ZIP drive
5::Floppy disk
240::Monitor
180::DVD drive
90::CD drive
270::Printer
66::Toner cartridge
180::DVD burner</t>
  </si>
  <si>
    <t>#ERROR COLUMN: blabla</t>
  </si>
  <si>
    <t>#ERROR COLUMN: 1</t>
  </si>
  <si>
    <t>#ERROR LIST EMPTY</t>
  </si>
  <si>
    <t>2::Creative Labs
3::Hewlett Packard
x::Fujitsu
y::Winchester</t>
  </si>
  <si>
    <t>#ERROR CONDITION LINE  4 : =(VALUE("x")&lt;4)</t>
  </si>
  <si>
    <t>relselect("%1&lt;4";$B$14)</t>
  </si>
  <si>
    <t>relselect("VALUE($1)&lt;4";$B$14)</t>
  </si>
  <si>
    <t>relselect("TEXT(%1,""0"")=""5""";$B$12)</t>
  </si>
  <si>
    <t>1::Sony
2::Creative Labs
3::Hewlett Packard
4::Iomega
5::Fujitsu
6::Winchester
x::Fujitsu
y::Winchester</t>
  </si>
  <si>
    <t>1::Sony
2::Creative Labs
3::Hewlett Packard
4::Iomega
5::Fujitsu
6::Winchester
10::Panasonic</t>
  </si>
  <si>
    <t>#ERROR ARITY :  3 &lt;&gt; 2</t>
  </si>
  <si>
    <t>relUnion($B$13;$B$14)</t>
  </si>
  <si>
    <t>relUnion($B$12;$B$13)</t>
  </si>
  <si>
    <t>relUnion($B$13;"")</t>
  </si>
  <si>
    <t>relUnion($B$13;$C$2)</t>
  </si>
  <si>
    <t>relUnion("";$B$13)</t>
  </si>
  <si>
    <t>relUnion("blabla";"foo")</t>
  </si>
  <si>
    <t>blabla
foo</t>
  </si>
  <si>
    <t>relDifference($B$13;$B$14)</t>
  </si>
  <si>
    <t>relDifference($B$13;"10::Panasonic")</t>
  </si>
  <si>
    <t>relDifference($B$12;$B$13)</t>
  </si>
  <si>
    <t>relDifference($B$13;"")</t>
  </si>
  <si>
    <t>relDifference($B$13;$C$2)</t>
  </si>
  <si>
    <t>relDifference("";$B$13)</t>
  </si>
  <si>
    <t>relDifference("blabla";"foo")</t>
  </si>
  <si>
    <t>1::Sony
5::Fujitsu
6::Winchester</t>
  </si>
  <si>
    <t/>
  </si>
  <si>
    <t>blabla</t>
  </si>
  <si>
    <t>relExtend("%1*2";$B$12)</t>
  </si>
  <si>
    <t>relExtend("$1*2";$B$12)</t>
  </si>
  <si>
    <t>relExtend("%2=""Memory""";$B$12)</t>
  </si>
  <si>
    <t>relExtend("$2=""Memory""";$B$12)</t>
  </si>
  <si>
    <t>relExtend("$2blabla""";$B$12)</t>
  </si>
  <si>
    <t>relExtend("%1/0";$B$12)</t>
  </si>
  <si>
    <t>relExtend("%1*5";"1::Sony")</t>
  </si>
  <si>
    <t>relExtend("%1*5";"")</t>
  </si>
  <si>
    <t>1::Hard drive::240::2
2::Memory::120::4
3::ZIP drive::150::6
4::Floppy disk::5::8
5::Monitor::240::10
6::DVD drive::180::12
7::CD drive::90::14
8::Printer::270::16
9::Toner cartridge::66::18
10::DVD burner::180::20</t>
  </si>
  <si>
    <t>1::Hard drive::240::False
2::Memory::120::False
3::ZIP drive::150::False
4::Floppy disk::5::False
5::Monitor::240::False
6::DVD drive::180::False
7::CD drive::90::False
8::Printer::270::False
9::Toner cartridge::66::False
10::DVD burner::180::False</t>
  </si>
  <si>
    <t>1::Hard drive::240::False
2::Memory::120::True
3::ZIP drive::150::False
4::Floppy disk::5::False
5::Monitor::240::False
6::DVD drive::180::False
7::CD drive::90::False
8::Printer::270::False
9::Toner cartridge::66::False
10::DVD burner::180::False</t>
  </si>
  <si>
    <t>#ERROR CALCULATION LINE  1 : =("Hard drive"blabla")</t>
  </si>
  <si>
    <t>#ERROR CALCULATION LINE  1 : =( 1/0)</t>
  </si>
  <si>
    <t>1::Sony::5</t>
  </si>
  <si>
    <t>1::Hard drive::240::1::Sony
1::Hard drive::240::2::Creative Labs
1::Hard drive::240::3::Hewlett Packard
1::Hard drive::240::4::Iomega
1::Hard drive::240::5::Fujitsu
1::Hard drive::240::6::Winchester
2::Memory::120::1::Sony
2::Memory::120::2::Creative Labs
2::Memory::120::3::Hewlett Packard
2::Memory::120::4::Iomega
2::Memory::120::5::Fujitsu
2::Memory::120::6::Winchester
3::ZIP drive::150::1::Sony
3::ZIP drive::150::2::Creative Labs
3::ZIP drive::150::3::Hewlett Packard
3::ZIP drive::150::4::Iomega
3::ZIP drive::150::5::Fujitsu
3::ZIP drive::150::6::Winchester
4::Floppy disk::5::1::Sony
4::Floppy disk::5::2::Creative Labs
4::Floppy disk::5::3::Hewlett Packard
4::Floppy disk::5::4::Iomega
4::Floppy disk::5::5::Fujitsu
4::Floppy disk::5::6::Winchester
5::Monitor::240::1::Sony
5::Monitor::240::2::Creative Labs
5::Monitor::240::3::Hewlett Packard
5::Monitor::240::4::Iomega
5::Monitor::240::5::Fujitsu
5::Monitor::240::6::Winchester
6::DVD drive::180::1::Sony
6::DVD drive::180::2::Creative Labs
6::DVD drive::180::3::Hewlett Packard
6::DVD drive::180::4::Iomega
6::DVD drive::180::5::Fujitsu
6::DVD drive::180::6::Winchester
7::CD drive::90::1::Sony
7::CD drive::90::2::Creative Labs
7::CD drive::90::3::Hewlett Packard
7::CD drive::90::4::Iomega
7::CD drive::90::5::Fujitsu
7::CD drive::90::6::Winchester
8::Printer::270::1::Sony
8::Printer::270::2::Creative Labs
8::Printer::270::3::Hewlett Packard
8::Printer::270::4::Iomega
8::Printer::270::5::Fujitsu
8::Printer::270::6::Winchester
9::Toner cartridge::66::1::Sony
9::Toner cartridge::66::2::Creative Labs
9::Toner cartridge::66::3::Hewlett Packard
9::Toner cartridge::66::4::Iomega
9::Toner cartridge::66::5::Fujitsu
9::Toner cartridge::66::6::Winchester
10::DVD burner::180::1::Sony
10::DVD burner::180::2::Creative Labs
10::DVD burner::180::3::Hewlett Packard
10::DVD burner::180::4::Iomega
10::DVD burner::180::5::Fujitsu
10::DVD burner::180::6::Winchester</t>
  </si>
  <si>
    <t>1::Hard drive::240::1::Hard drive::240
1::Hard drive::240::2::Memory::120
1::Hard drive::240::3::ZIP drive::150
1::Hard drive::240::4::Floppy disk::5
1::Hard drive::240::5::Monitor::240
1::Hard drive::240::6::DVD drive::180
1::Hard drive::240::7::CD drive::90
1::Hard drive::240::8::Printer::270
1::Hard drive::240::9::Toner cartridge::66
1::Hard drive::240::10::DVD burner::180
2::Memory::120::1::Hard drive::240
2::Memory::120::2::Memory::120
2::Memory::120::3::ZIP drive::150
2::Memory::120::4::Floppy disk::5
2::Memory::120::5::Monitor::240
2::Memory::120::6::DVD drive::180
2::Memory::120::7::CD drive::90
2::Memory::120::8::Printer::270
2::Memory::120::9::Toner cartridge::66
2::Memory::120::10::DVD burner::180
3::ZIP drive::150::1::Hard drive::240
3::ZIP drive::150::2::Memory::120
3::ZIP drive::150::3::ZIP drive::150
3::ZIP drive::150::4::Floppy disk::5
3::ZIP drive::150::5::Monitor::240
3::ZIP drive::150::6::DVD drive::180
3::ZIP drive::150::7::CD drive::90
3::ZIP drive::150::8::Printer::270
3::ZIP drive::150::9::Toner cartridge::66
3::ZIP drive::150::10::DVD burner::180
4::Floppy disk::5::1::Hard drive::240
4::Floppy disk::5::2::Memory::120
4::Floppy disk::5::3::ZIP drive::150
4::Floppy disk::5::4::Floppy disk::5
4::Floppy disk::5::5::Monitor::240
4::Floppy disk::5::6::DVD drive::180
4::Floppy disk::5::7::CD drive::90
4::Floppy disk::5::8::Printer::270
4::Floppy disk::5::9::Toner cartridge::66
4::Floppy disk::5::10::DVD burner::180
5::Monitor::240::1::Hard drive::240
5::Monitor::240::2::Memory::120
5::Monitor::240::3::ZIP drive::150
5::Monitor::240::4::Floppy disk::5
5::Monitor::240::5::Monitor::240
5::Monitor::240::6::DVD drive::180
5::Monitor::240::7::CD drive::90
5::Monitor::240::8::Printer::270
5::Monitor::240::9::Toner cartridge::66
5::Monitor::240::10::DVD burner::180
6::DVD drive::180::1::Hard drive::240
6::DVD drive::180::2::Memory::120
6::DVD drive::180::3::ZIP drive::150
6::DVD drive::180::4::Floppy disk::5
6::DVD drive::180::5::Monitor::240
6::DVD drive::180::6::DVD drive::180
6::DVD drive::180::7::CD drive::90
6::DVD drive::180::8::Printer::270
6::DVD drive::180::9::Toner cartridge::66
6::DVD drive::180::10::DVD burner::180
7::CD drive::90::1::Hard drive::240
7::CD drive::90::2::Memory::120
7::CD drive::90::3::ZIP drive::150
7::CD drive::90::4::Floppy disk::5
7::CD drive::90::5::Monitor::240
7::CD drive::90::6::DVD drive::180
7::CD drive::90::7::CD drive::90
7::CD drive::90::8::Printer::270
7::CD drive::90::9::Toner cartridge::66
7::CD drive::90::10::DVD burner::180
8::Printer::270::1::Hard drive::240
8::Printer::270::2::Memory::120
8::Printer::270::3::ZIP drive::150
8::Printer::270::4::Floppy disk::5
8::Printer::270::5::Monitor::240
8::Printer::270::6::DVD drive::180
8::Printer::270::7::CD drive::90
8::Printer::270::8::Printer::270
8::Printer::270::9::Toner cartridge::66
8::Printer::270::10::DVD burner::180
9::Toner cartridge::66::1::Hard drive::240
9::Toner cartridge::66::2::Memory::120
9::Toner cartridge::66::3::ZIP drive::150
9::Toner cartridge::66::4::Floppy disk::5
9::Toner cartridge::66::5::Monitor::240
9::Toner cartridge::66::6::DVD drive::180
9::Toner cartridge::66::7::CD drive::90
9::Toner cartridge::66::8::Printer::270
9::Toner cartridge::66::9::Toner cartridge::66
9::Toner cartridge::66::10::DVD burner::180
10::DVD burner::180::1::Hard drive::240
10::DVD burner::180::2::Memory::120
10::DVD burner::180::3::ZIP drive::150
10::DVD burner::180::4::Floppy disk::5
10::DVD burner::180::5::Monitor::240
10::DVD burner::180::6::DVD drive::180
10::DVD burner::180::7::CD drive::90
10::DVD burner::180::8::Printer::270
10::DVD burner::180::9::Toner cartridge::66
10::DVD burner::180::10::DVD burner::180</t>
  </si>
  <si>
    <t>1::Hard drive::240::1::Sony
2::Memory::120::2::Creative Labs
3::ZIP drive::150::3::Hewlett Packard
4::Floppy disk::5::4::Iomega
5::Monitor::240::5::Fujitsu
6::DVD drive::180::6::Winchester</t>
  </si>
  <si>
    <t>#ERROR CONDITION LINE  1/ 1 : =(blabla)</t>
  </si>
  <si>
    <t>2::Creative Labs::2::Creative Labs
3::Hewlett Packard::3::Hewlett Packard
4::Iomega::4::Iomega</t>
  </si>
  <si>
    <t>relJoin("true";$B$12;$B$13)</t>
  </si>
  <si>
    <t>relJoin("true";$B$12;$B$12)</t>
  </si>
  <si>
    <t>relJoin("%1=%4";$B$12;$B$13)</t>
  </si>
  <si>
    <t>relJoin("$1=$4";$B$12;$B$13)</t>
  </si>
  <si>
    <t>relJoin("$1=$1";$B$12;$B$12)</t>
  </si>
  <si>
    <t>relJoin("true";$B$12;"")</t>
  </si>
  <si>
    <t>relJoin("true";"";$B$12)</t>
  </si>
  <si>
    <t>relJoin("true";"";"")</t>
  </si>
  <si>
    <t>relJoin("blabla";$B$12;$B$13)</t>
  </si>
  <si>
    <t>relJoin("$1=$3";$B$13;$B$14)</t>
  </si>
  <si>
    <t>8::Printer::270
1::Hard drive::240
5::Monitor::240
6::DVD drive::180
10::DVD burner::180
3::ZIP drive::150
2::Memory::120
7::CD drive::90
9::Toner cartridge::66
4::Floppy disk::5</t>
  </si>
  <si>
    <t>#ERROR MODE 9:blabla:2</t>
  </si>
  <si>
    <t>relorder("3 9::2 A";$B$12)</t>
  </si>
  <si>
    <t>relorder("3 9:blabla:2 A";$B$12)</t>
  </si>
  <si>
    <t>#ERROR BOUNDS COLUMN:  99</t>
  </si>
  <si>
    <t>#ERROR BOUNDS ROW:  0</t>
  </si>
  <si>
    <t>relCell($B$12;1;2)</t>
  </si>
  <si>
    <t>relCell($B$12;2;99)</t>
  </si>
  <si>
    <t>relCell($B$12;2;99;TRUE)</t>
  </si>
  <si>
    <t>relCell($B$12;"a";2)</t>
  </si>
  <si>
    <t>relCell($B$12;0;2)</t>
  </si>
  <si>
    <t>#ERROR BOUNDS ROW:  1</t>
  </si>
  <si>
    <t>relCell("";1;1)</t>
  </si>
  <si>
    <t>relCell("1::Sony";1;2)</t>
  </si>
  <si>
    <t>is not range</t>
  </si>
  <si>
    <t>returns always false</t>
  </si>
  <si>
    <t>X not in relation</t>
  </si>
  <si>
    <t>empty relation</t>
  </si>
  <si>
    <t>text coerced number will be "0"</t>
  </si>
  <si>
    <t>is not string</t>
  </si>
  <si>
    <t>#ERROR CONDITION LINE  1 : =(blabla)</t>
  </si>
  <si>
    <t>comment</t>
  </si>
  <si>
    <t>no column</t>
  </si>
  <si>
    <t>space column</t>
  </si>
  <si>
    <t>error suppressed</t>
  </si>
  <si>
    <t>column text instead of number</t>
  </si>
  <si>
    <t>1::Hard drive::240::0.22
2::Memory::120::0.44
3::ZIP drive::150::0.66
4::Floppy disk::5::0.88
5::Monitor::240::1.1
6::DVD drive::180::1.32
7::CD drive::90::1.54
8::Printer::270::1.76
9::Toner cartridge::66::1.98
10::DVD burner::180::2.2</t>
  </si>
  <si>
    <t>relExtend("%1*0.22";$B$12)</t>
  </si>
  <si>
    <t>Text size 32k and therefore a result can not have more than 32k characters or you have an error</t>
  </si>
  <si>
    <t>peformance not tested, though it looks decent even with a lot of data</t>
  </si>
  <si>
    <t>This meand typically about 350 rows with 12 columns</t>
  </si>
  <si>
    <t>There is  an alternative syntax, where you can enter the formula for an entire range with control-shift-enter (adding curly braces)</t>
  </si>
  <si>
    <t>Filter</t>
  </si>
  <si>
    <t>From http://www.sofawiki.com/demo/queryfunction/employee-management</t>
  </si>
  <si>
    <t>Departments data</t>
  </si>
  <si>
    <t>Employee management</t>
  </si>
  <si>
    <t>ssn</t>
  </si>
  <si>
    <t>lastname</t>
  </si>
  <si>
    <t>department</t>
  </si>
  <si>
    <t>Michael</t>
  </si>
  <si>
    <t>Rogers</t>
  </si>
  <si>
    <t>Anand</t>
  </si>
  <si>
    <t>Manikutty</t>
  </si>
  <si>
    <t>Carol</t>
  </si>
  <si>
    <t>Smith</t>
  </si>
  <si>
    <t>Joe</t>
  </si>
  <si>
    <t>Stevens</t>
  </si>
  <si>
    <t>Mary-Anne</t>
  </si>
  <si>
    <t>Foster</t>
  </si>
  <si>
    <t>George</t>
  </si>
  <si>
    <t>ODonnell</t>
  </si>
  <si>
    <t>John</t>
  </si>
  <si>
    <t>Doe</t>
  </si>
  <si>
    <t>David</t>
  </si>
  <si>
    <t>Zacary</t>
  </si>
  <si>
    <t>Efron</t>
  </si>
  <si>
    <t>Eric</t>
  </si>
  <si>
    <t>Goldsmith</t>
  </si>
  <si>
    <t>Elizabeth</t>
  </si>
  <si>
    <t>Kumar</t>
  </si>
  <si>
    <t>Swamy</t>
  </si>
  <si>
    <t>budget</t>
  </si>
  <si>
    <t>IT</t>
  </si>
  <si>
    <t>Accounting</t>
  </si>
  <si>
    <t>Human Resources</t>
  </si>
  <si>
    <t>Research</t>
  </si>
  <si>
    <t>Select the last name of all employees</t>
  </si>
  <si>
    <t>Select all the data of employees whose last name is "Smith" or "Doe".</t>
  </si>
  <si>
    <t>Select all the data of employees that work in department 14.</t>
  </si>
  <si>
    <t>Select all the data of employees that work in department 37 or department 77.</t>
  </si>
  <si>
    <t>Select all the data of employees whose last name begins with an "S".</t>
  </si>
  <si>
    <t>Select the sum of all the departments' budgets.</t>
  </si>
  <si>
    <t>relselect("OR($3=""Smith"",$3=""Doe"")";$H$22)</t>
  </si>
  <si>
    <t>relProject("3";$H$22)</t>
  </si>
  <si>
    <t>relRange(F14:I23)</t>
  </si>
  <si>
    <t>relRange(C14:D19)</t>
  </si>
  <si>
    <t>relselect("%4=14";$H$22)</t>
  </si>
  <si>
    <t>relselect("OR(%4=37,%4=77)";$H$22)</t>
  </si>
  <si>
    <t>relselect("LEFT($3,1)=""S""";$H$22)</t>
  </si>
  <si>
    <t>relProject("SUM 3";$D$22)</t>
  </si>
  <si>
    <t>Select the number of employees in each department (you only need to show the department code and the number of employees).</t>
  </si>
  <si>
    <t>relProject("4::COUNT 1";$H$22)</t>
  </si>
  <si>
    <t>Select all the data of employees, including each employee's department's data.</t>
  </si>
  <si>
    <t>Select the name and last name of each employee, along with the name and budget of the employee's department.</t>
  </si>
  <si>
    <t>relProject("2::3::5::6";H40)</t>
  </si>
  <si>
    <t>Select the name and last name of employees working for departments with a budget greater than $60,000.</t>
  </si>
  <si>
    <t>Select the departments with a budget larger than the average budget of all the departments.</t>
  </si>
  <si>
    <t>relProject("2::3";relselect("%6&gt;60000";H40))</t>
  </si>
  <si>
    <t>relProject("2";relselect("%3&gt;%4";relJoin("true";$D$22;relProject("AVG 3";$D$22))))</t>
  </si>
  <si>
    <t>Select the names of departments with more than two employees</t>
  </si>
  <si>
    <t>relProject("2";relJoin("$1=$4";$D22;relselect("%2&gt;2";(relProject("4::COUNT 1";$H$22)))))</t>
  </si>
  <si>
    <t>Select the name and last name of employees working for departments with second lowest budget.</t>
  </si>
  <si>
    <t>Limit</t>
  </si>
  <si>
    <t>relProject("5::6";relJoin("%1=%7";relLimit(2;1;relorder("3 1";$D$22));$H$22))</t>
  </si>
  <si>
    <t>http://www.sofawiki.com/demo/queryfunction/the-warehouse</t>
  </si>
  <si>
    <t>Warehouses data</t>
  </si>
  <si>
    <t>location</t>
  </si>
  <si>
    <t>capacity</t>
  </si>
  <si>
    <t>Chicago</t>
  </si>
  <si>
    <t>New York</t>
  </si>
  <si>
    <t>Los Angeles</t>
  </si>
  <si>
    <t>San Francisco</t>
  </si>
  <si>
    <t>Boxes data</t>
  </si>
  <si>
    <t>contents</t>
  </si>
  <si>
    <t>value</t>
  </si>
  <si>
    <t>warehouse</t>
  </si>
  <si>
    <t>0MN7</t>
  </si>
  <si>
    <t>Rocks</t>
  </si>
  <si>
    <t>4H8P</t>
  </si>
  <si>
    <t>4RT3</t>
  </si>
  <si>
    <t>Scissors</t>
  </si>
  <si>
    <t>7G3H</t>
  </si>
  <si>
    <t>8JN6</t>
  </si>
  <si>
    <t>Papers</t>
  </si>
  <si>
    <t>8Y6U</t>
  </si>
  <si>
    <t>9J6F</t>
  </si>
  <si>
    <t>LL08</t>
  </si>
  <si>
    <t>P0H6</t>
  </si>
  <si>
    <t>P2T6</t>
  </si>
  <si>
    <t>relRange(C8:E12)</t>
  </si>
  <si>
    <t>relRange(G8:J17)</t>
  </si>
  <si>
    <t>Select all boxes with a value larger than $150.</t>
  </si>
  <si>
    <t>relselect("%3&gt;150";$H$20)</t>
  </si>
  <si>
    <t>Select all distinct contents in all the boxes.</t>
  </si>
  <si>
    <t>relProject("2";H20)</t>
  </si>
  <si>
    <t>Select the average value of all the boxes</t>
  </si>
  <si>
    <t>relProject("AVG 3";$H$20)</t>
  </si>
  <si>
    <t>Select the warehouse code and the average value of the boxes in each warehouse.</t>
  </si>
  <si>
    <t>relProject("4::AVG 3";$H$20)</t>
  </si>
  <si>
    <t>Select the code of each box, along with the name of the city the box is located in.</t>
  </si>
  <si>
    <t>relProject("1::6";relJoin("%4=%5";$H$20;$D$20))</t>
  </si>
  <si>
    <t>Select the warehouse codes, along with the number of boxes in each warehouse.</t>
  </si>
  <si>
    <t>relProject("4::COUNT 1";relJoin("%4=%5";$H$20;$D$20))</t>
  </si>
  <si>
    <t>Optionally, take into account that some warehouses are empty (i.e., the box count should show up as zero, instead of omitting the warehouse from the result).</t>
  </si>
  <si>
    <t>relUnion(relExtend("0";relDifference(relProject("1";$D$20);relProject("1";H34)));H34)</t>
  </si>
  <si>
    <t>Select the codes of all warehouses that are saturated (a warehouse is saturated if the number of boxes in it is larger than the warehouse's capacity).</t>
  </si>
  <si>
    <t>relProject("1";relJoin("AND(%1=%3,%2&gt;%4)";relProject("4::COUNT 1";$H$20);relProject("1::3";$D$20)))</t>
  </si>
  <si>
    <t>relProject("4::COUNT 1";$H$20)</t>
  </si>
  <si>
    <t>relProject("1::3";$D$20)</t>
  </si>
  <si>
    <t>relProject("1";relJoin("AND(%1=%3,%2&gt;%4)";H42;H44))</t>
  </si>
  <si>
    <t>The cell structure of Excel allows you to build complex queries out of simple ones, seeing intermediate results and working therefore by exploring  the data</t>
  </si>
  <si>
    <t>http://www.sofawiki.com/demo/queryfunction/pieces-and-providers</t>
  </si>
  <si>
    <t>Pieces data</t>
  </si>
  <si>
    <t>Sprocket</t>
  </si>
  <si>
    <t>Screw</t>
  </si>
  <si>
    <t>Nut</t>
  </si>
  <si>
    <t>Bolt</t>
  </si>
  <si>
    <t>Provides data</t>
  </si>
  <si>
    <t>piece</t>
  </si>
  <si>
    <t>provider</t>
  </si>
  <si>
    <t>HAL</t>
  </si>
  <si>
    <t>RBT</t>
  </si>
  <si>
    <t>TNBC</t>
  </si>
  <si>
    <t>Providers data</t>
  </si>
  <si>
    <t>Clarke Entreprises</t>
  </si>
  <si>
    <t>Susan Calvin Corp.</t>
  </si>
  <si>
    <t>Skellington Supplies</t>
  </si>
  <si>
    <t>relRange(C8:D11)</t>
  </si>
  <si>
    <t>relRange(G8:I16)</t>
  </si>
  <si>
    <t>relRange(K8:L10)</t>
  </si>
  <si>
    <t>Select the name of all the pieces</t>
  </si>
  <si>
    <t>relProject("2";$D$20)</t>
  </si>
  <si>
    <t>Obtain the average price of each piece (show only the piece code and the average price).</t>
  </si>
  <si>
    <t>relProject("1::AVG 3";$H$20)</t>
  </si>
  <si>
    <t>Obtain the names of all providers who supply piece 1.</t>
  </si>
  <si>
    <t>relselect("%1=1";$H$20)</t>
  </si>
  <si>
    <t>Select the name of pieces provided by provider with code "HAL".</t>
  </si>
  <si>
    <t>relProject("2";I30)</t>
  </si>
  <si>
    <t>relJoin("$1=$4";$L$20;J30)</t>
  </si>
  <si>
    <t>relProject("2";I33)</t>
  </si>
  <si>
    <t>relselect("$2=""HAL""";$H$20)</t>
  </si>
  <si>
    <t>relJoin("%1=%3";$D$20;J33)</t>
  </si>
  <si>
    <t>For each piece, find the most expensive offering of that piece and include the piece name, provider name, and price (note that there could be two providers who supply the same piece at the most expensive price).</t>
  </si>
  <si>
    <t>relProject("4::2::7";H37)</t>
  </si>
  <si>
    <t>relJoin("$1=$6";$L$20;I37)</t>
  </si>
  <si>
    <t>relJoin("%1=%3";$D$20;J37)</t>
  </si>
  <si>
    <t>relJoin("AND(%1=%4,%3=%5)";$H19;K37)</t>
  </si>
  <si>
    <t>relProject("1::MAX 3";$H$20)</t>
  </si>
  <si>
    <t>Accounts</t>
  </si>
  <si>
    <t>Journal</t>
  </si>
  <si>
    <t>Date</t>
  </si>
  <si>
    <t>Avoir</t>
  </si>
  <si>
    <t>Devoir</t>
  </si>
  <si>
    <t>Montant</t>
  </si>
  <si>
    <t>Plan comptable</t>
  </si>
  <si>
    <t>Compte</t>
  </si>
  <si>
    <t>Label</t>
  </si>
  <si>
    <t>Caisse</t>
  </si>
  <si>
    <t>Capital</t>
  </si>
  <si>
    <t>Achats</t>
  </si>
  <si>
    <t>Salaires</t>
  </si>
  <si>
    <t>Vente</t>
  </si>
  <si>
    <t>Ouverture</t>
  </si>
  <si>
    <t>Fermeture</t>
  </si>
  <si>
    <t>OUVERTURE CAISSE</t>
  </si>
  <si>
    <t>CCP</t>
  </si>
  <si>
    <t>OUVERTURE Capital</t>
  </si>
  <si>
    <t>Achat livres</t>
  </si>
  <si>
    <t>Salaire</t>
  </si>
  <si>
    <t>Vente livres</t>
  </si>
  <si>
    <t>Bilan</t>
  </si>
  <si>
    <t>PP</t>
  </si>
  <si>
    <t>This is not really relational algebra, but useful. Limit -1 does not limit)</t>
  </si>
  <si>
    <t>relselect("relLike($2,""*ve"")";G26)</t>
  </si>
  <si>
    <t>Rotate</t>
  </si>
  <si>
    <t>Rotate is not really relational algebra either, but useful, too.</t>
  </si>
  <si>
    <t>Relation for Excel</t>
  </si>
  <si>
    <t>OUVERTURE CCP</t>
  </si>
  <si>
    <t>journal data</t>
  </si>
  <si>
    <t>negative column</t>
  </si>
  <si>
    <t>left values</t>
  </si>
  <si>
    <t>right values</t>
  </si>
  <si>
    <t>journal linearized</t>
  </si>
  <si>
    <t>quick balance</t>
  </si>
  <si>
    <t>counts 1000</t>
  </si>
  <si>
    <t>counts 2000</t>
  </si>
  <si>
    <t>counts 3000</t>
  </si>
  <si>
    <t>counts 4000</t>
  </si>
  <si>
    <t>sum 1000</t>
  </si>
  <si>
    <t>sum 2000</t>
  </si>
  <si>
    <t>profit</t>
  </si>
  <si>
    <t>sum 3000</t>
  </si>
  <si>
    <t>sum 4000</t>
  </si>
  <si>
    <t>sum 1000/3000</t>
  </si>
  <si>
    <t>sum 3000/4000</t>
  </si>
  <si>
    <t>Intermediate calculations</t>
  </si>
  <si>
    <t>You can workaround this usin the relFilter function</t>
  </si>
  <si>
    <t>relFilter is a workaround to deal with the 32k limit of Excel. Only the end result must be less than 32k.</t>
  </si>
  <si>
    <t>relFilter(C14:D19;"S %1&lt;4"; "P 2")</t>
  </si>
  <si>
    <t>relFilter(C14:D19;"S %1&lt;4"; "P 2"; "O 1 A")</t>
  </si>
  <si>
    <t>You can use any operators, call them by their first letter: S, P, E, U, D, J, R, O, R or T for a textual relation.</t>
  </si>
  <si>
    <t xml:space="preserve">A range with more than one cell will be interpreted as range. </t>
  </si>
  <si>
    <t>relFilter(C14:D19;"S %1&lt;4"; "P 2"; "O 1 A";"L 1 2")</t>
  </si>
</sst>
</file>

<file path=xl/styles.xml><?xml version="1.0" encoding="utf-8"?>
<styleSheet xmlns="http://schemas.openxmlformats.org/spreadsheetml/2006/main" xmlns:mc="http://schemas.openxmlformats.org/markup-compatibility/2006" xmlns:x14ac="http://schemas.microsoft.com/office/spreadsheetml/2009/9/ac" mc:Ignorable="x14ac">
  <fonts count="8" x14ac:knownFonts="1">
    <font>
      <sz val="12"/>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sz val="12"/>
      <color rgb="FF000000"/>
      <name val="Calibri"/>
      <family val="2"/>
      <scheme val="minor"/>
    </font>
    <font>
      <b/>
      <sz val="12"/>
      <color rgb="FF000000"/>
      <name val="Calibri"/>
      <scheme val="minor"/>
    </font>
    <font>
      <i/>
      <sz val="12"/>
      <color theme="1"/>
      <name val="Calibri"/>
      <scheme val="minor"/>
    </font>
    <font>
      <i/>
      <sz val="12"/>
      <color rgb="FF000000"/>
      <name val="Calibri"/>
      <scheme val="minor"/>
    </font>
  </fonts>
  <fills count="2">
    <fill>
      <patternFill patternType="none"/>
    </fill>
    <fill>
      <patternFill patternType="gray125"/>
    </fill>
  </fills>
  <borders count="1">
    <border>
      <left/>
      <right/>
      <top/>
      <bottom/>
      <diagonal/>
    </border>
  </borders>
  <cellStyleXfs count="340">
    <xf numFmtId="0" fontId="0" fillId="0" borderId="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cellStyleXfs>
  <cellXfs count="26">
    <xf numFmtId="0" fontId="0" fillId="0" borderId="0" xfId="0"/>
    <xf numFmtId="0" fontId="0" fillId="0" borderId="0" xfId="0" applyAlignment="1">
      <alignment vertical="top" wrapText="1"/>
    </xf>
    <xf numFmtId="0" fontId="3" fillId="0" borderId="0" xfId="0" applyFont="1"/>
    <xf numFmtId="0" fontId="4" fillId="0" borderId="0" xfId="0" applyFont="1" applyAlignment="1">
      <alignment vertical="top" wrapText="1"/>
    </xf>
    <xf numFmtId="0" fontId="0" fillId="0" borderId="0" xfId="0" applyFont="1"/>
    <xf numFmtId="0" fontId="1" fillId="0" borderId="0" xfId="119"/>
    <xf numFmtId="14" fontId="0" fillId="0" borderId="0" xfId="0" applyNumberFormat="1"/>
    <xf numFmtId="0" fontId="5" fillId="0" borderId="0" xfId="0" applyFont="1" applyAlignment="1">
      <alignment vertical="top" wrapText="1"/>
    </xf>
    <xf numFmtId="0" fontId="0" fillId="0" borderId="0" xfId="0" applyFill="1" applyAlignment="1">
      <alignment vertical="top" wrapText="1"/>
    </xf>
    <xf numFmtId="0" fontId="6" fillId="0" borderId="0" xfId="0" applyFont="1"/>
    <xf numFmtId="0" fontId="0" fillId="0" borderId="0" xfId="0" applyAlignment="1">
      <alignment vertical="top"/>
    </xf>
    <xf numFmtId="0" fontId="4" fillId="0" borderId="0" xfId="0" applyFont="1"/>
    <xf numFmtId="0" fontId="7" fillId="0" borderId="0" xfId="0" applyFont="1"/>
    <xf numFmtId="0" fontId="5" fillId="0" borderId="0" xfId="0" applyFont="1"/>
    <xf numFmtId="0" fontId="0" fillId="0" borderId="0" xfId="0" applyAlignment="1">
      <alignment wrapText="1"/>
    </xf>
    <xf numFmtId="0" fontId="0" fillId="0" borderId="0" xfId="0" applyAlignment="1">
      <alignment horizontal="left" vertical="top" wrapText="1"/>
    </xf>
    <xf numFmtId="0" fontId="3" fillId="0" borderId="0" xfId="0" applyFont="1" applyAlignment="1">
      <alignment wrapText="1"/>
    </xf>
    <xf numFmtId="0" fontId="3" fillId="0" borderId="0" xfId="0" applyFont="1" applyAlignment="1"/>
    <xf numFmtId="2" fontId="0" fillId="0" borderId="0" xfId="0" applyNumberFormat="1"/>
    <xf numFmtId="0" fontId="0" fillId="0" borderId="0" xfId="0" applyAlignment="1"/>
    <xf numFmtId="0" fontId="0" fillId="0" borderId="0" xfId="0" applyFont="1" applyAlignment="1">
      <alignment vertical="top" wrapText="1"/>
    </xf>
    <xf numFmtId="14" fontId="0" fillId="0" borderId="0" xfId="0" applyNumberFormat="1" applyAlignment="1">
      <alignment horizontal="left"/>
    </xf>
    <xf numFmtId="0" fontId="3" fillId="0" borderId="0" xfId="0" applyFont="1" applyAlignment="1">
      <alignment vertical="top"/>
    </xf>
    <xf numFmtId="0" fontId="6" fillId="0" borderId="0" xfId="0" applyFont="1" applyAlignment="1">
      <alignment vertical="top" wrapText="1"/>
    </xf>
    <xf numFmtId="16" fontId="0" fillId="0" borderId="0" xfId="0" applyNumberFormat="1"/>
    <xf numFmtId="0" fontId="4" fillId="0" borderId="0" xfId="0" applyFont="1" applyAlignment="1">
      <alignment wrapText="1"/>
    </xf>
  </cellXfs>
  <cellStyles count="340">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Followed Hyperlink" xfId="274" builtinId="9" hidden="1"/>
    <cellStyle name="Followed Hyperlink" xfId="275" builtinId="9" hidden="1"/>
    <cellStyle name="Followed Hyperlink" xfId="276" builtinId="9" hidden="1"/>
    <cellStyle name="Followed Hyperlink" xfId="277" builtinId="9" hidden="1"/>
    <cellStyle name="Followed Hyperlink" xfId="278" builtinId="9" hidden="1"/>
    <cellStyle name="Followed Hyperlink" xfId="279" builtinId="9" hidden="1"/>
    <cellStyle name="Followed Hyperlink" xfId="280" builtinId="9" hidden="1"/>
    <cellStyle name="Followed Hyperlink" xfId="281" builtinId="9" hidden="1"/>
    <cellStyle name="Followed Hyperlink" xfId="282" builtinId="9" hidden="1"/>
    <cellStyle name="Followed Hyperlink" xfId="283" builtinId="9" hidden="1"/>
    <cellStyle name="Followed Hyperlink" xfId="284" builtinId="9" hidden="1"/>
    <cellStyle name="Followed Hyperlink" xfId="285" builtinId="9" hidden="1"/>
    <cellStyle name="Followed Hyperlink" xfId="286" builtinId="9" hidden="1"/>
    <cellStyle name="Followed Hyperlink" xfId="287" builtinId="9" hidden="1"/>
    <cellStyle name="Followed Hyperlink" xfId="288" builtinId="9" hidden="1"/>
    <cellStyle name="Followed Hyperlink" xfId="289" builtinId="9" hidden="1"/>
    <cellStyle name="Followed Hyperlink" xfId="290" builtinId="9" hidden="1"/>
    <cellStyle name="Followed Hyperlink" xfId="291" builtinId="9" hidden="1"/>
    <cellStyle name="Followed Hyperlink" xfId="292" builtinId="9" hidden="1"/>
    <cellStyle name="Followed Hyperlink" xfId="293" builtinId="9" hidden="1"/>
    <cellStyle name="Followed Hyperlink" xfId="294" builtinId="9" hidden="1"/>
    <cellStyle name="Followed Hyperlink" xfId="295" builtinId="9" hidden="1"/>
    <cellStyle name="Followed Hyperlink" xfId="296" builtinId="9" hidden="1"/>
    <cellStyle name="Followed Hyperlink" xfId="297" builtinId="9" hidden="1"/>
    <cellStyle name="Followed Hyperlink" xfId="298" builtinId="9" hidden="1"/>
    <cellStyle name="Followed Hyperlink" xfId="299" builtinId="9" hidden="1"/>
    <cellStyle name="Followed Hyperlink" xfId="300" builtinId="9" hidden="1"/>
    <cellStyle name="Followed Hyperlink" xfId="301" builtinId="9" hidden="1"/>
    <cellStyle name="Followed Hyperlink" xfId="302" builtinId="9" hidden="1"/>
    <cellStyle name="Followed Hyperlink" xfId="303" builtinId="9" hidden="1"/>
    <cellStyle name="Followed Hyperlink" xfId="304" builtinId="9" hidden="1"/>
    <cellStyle name="Followed Hyperlink" xfId="305" builtinId="9" hidden="1"/>
    <cellStyle name="Followed Hyperlink" xfId="306" builtinId="9" hidden="1"/>
    <cellStyle name="Followed Hyperlink" xfId="307" builtinId="9" hidden="1"/>
    <cellStyle name="Followed Hyperlink" xfId="308" builtinId="9" hidden="1"/>
    <cellStyle name="Followed Hyperlink" xfId="309" builtinId="9" hidden="1"/>
    <cellStyle name="Followed Hyperlink" xfId="310" builtinId="9" hidden="1"/>
    <cellStyle name="Followed Hyperlink" xfId="311" builtinId="9" hidden="1"/>
    <cellStyle name="Followed Hyperlink" xfId="312" builtinId="9" hidden="1"/>
    <cellStyle name="Followed Hyperlink" xfId="313" builtinId="9" hidden="1"/>
    <cellStyle name="Followed Hyperlink" xfId="314" builtinId="9" hidden="1"/>
    <cellStyle name="Followed Hyperlink" xfId="315" builtinId="9" hidden="1"/>
    <cellStyle name="Followed Hyperlink" xfId="316" builtinId="9" hidden="1"/>
    <cellStyle name="Followed Hyperlink" xfId="317" builtinId="9" hidden="1"/>
    <cellStyle name="Followed Hyperlink" xfId="318" builtinId="9" hidden="1"/>
    <cellStyle name="Followed Hyperlink" xfId="319" builtinId="9" hidden="1"/>
    <cellStyle name="Followed Hyperlink" xfId="320" builtinId="9" hidden="1"/>
    <cellStyle name="Followed Hyperlink" xfId="321" builtinId="9" hidden="1"/>
    <cellStyle name="Followed Hyperlink" xfId="322" builtinId="9" hidden="1"/>
    <cellStyle name="Followed Hyperlink" xfId="323" builtinId="9" hidden="1"/>
    <cellStyle name="Followed Hyperlink" xfId="324" builtinId="9" hidden="1"/>
    <cellStyle name="Followed Hyperlink" xfId="325" builtinId="9" hidden="1"/>
    <cellStyle name="Followed Hyperlink" xfId="326" builtinId="9" hidden="1"/>
    <cellStyle name="Followed Hyperlink" xfId="327" builtinId="9" hidden="1"/>
    <cellStyle name="Followed Hyperlink" xfId="328" builtinId="9" hidden="1"/>
    <cellStyle name="Followed Hyperlink" xfId="329" builtinId="9" hidden="1"/>
    <cellStyle name="Followed Hyperlink" xfId="330" builtinId="9" hidden="1"/>
    <cellStyle name="Followed Hyperlink" xfId="331" builtinId="9" hidden="1"/>
    <cellStyle name="Followed Hyperlink" xfId="332" builtinId="9" hidden="1"/>
    <cellStyle name="Followed Hyperlink" xfId="333" builtinId="9" hidden="1"/>
    <cellStyle name="Followed Hyperlink" xfId="334" builtinId="9" hidden="1"/>
    <cellStyle name="Followed Hyperlink" xfId="335" builtinId="9" hidden="1"/>
    <cellStyle name="Followed Hyperlink" xfId="336" builtinId="9" hidden="1"/>
    <cellStyle name="Followed Hyperlink" xfId="337" builtinId="9" hidden="1"/>
    <cellStyle name="Followed Hyperlink" xfId="338" builtinId="9" hidden="1"/>
    <cellStyle name="Followed Hyperlink" xfId="339"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cellStyle name="Normal" xfId="0" builtinId="0"/>
  </cellStyles>
  <dxfs count="0"/>
  <tableStyles count="0" defaultTableStyle="TableStyleMedium9" defaultPivotStyle="PivotStyleMedium4"/>
</styleSheet>
</file>

<file path=xl/_rels/workbook.xml.rels><?xml version="1.0" encoding="UTF-8" standalone="yes"?>
<Relationships xmlns="http://schemas.openxmlformats.org/package/2006/relationships"><Relationship Id="rId11" Type="http://schemas.openxmlformats.org/officeDocument/2006/relationships/sharedStrings" Target="sharedStrings.xml"/><Relationship Id="rId12" Type="http://schemas.openxmlformats.org/officeDocument/2006/relationships/calcChain" Target="calcChain.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externalLink" Target="externalLinks/externalLink1.xml"/><Relationship Id="rId9" Type="http://schemas.openxmlformats.org/officeDocument/2006/relationships/theme" Target="theme/theme1.xml"/><Relationship Id="rId10"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Applications/Microsoft%20Office%202011/Office/Add-Ins/relation-for-excel-110.xla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Tabelle1"/>
    </sheetNames>
    <definedNames>
      <definedName name="relCell"/>
      <definedName name="relCellArray"/>
      <definedName name="reldifference"/>
      <definedName name="relExtend"/>
      <definedName name="relFilter"/>
      <definedName name="relJoin"/>
      <definedName name="relLike"/>
      <definedName name="relLimit"/>
      <definedName name="relOrder"/>
      <definedName name="relProject"/>
      <definedName name="relRange"/>
      <definedName name="relRotate"/>
      <definedName name="relSelect"/>
      <definedName name="relUnion"/>
    </definedNames>
    <sheetDataSet>
      <sheetData sheetId="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hyperlink" Target="mailto:matti@belle-nuit.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J124"/>
  <sheetViews>
    <sheetView tabSelected="1" showRuler="0" topLeftCell="A99" workbookViewId="0">
      <selection activeCell="D112" sqref="D112"/>
    </sheetView>
  </sheetViews>
  <sheetFormatPr baseColWidth="10" defaultRowHeight="15" x14ac:dyDescent="0"/>
  <cols>
    <col min="4" max="4" width="44.83203125" customWidth="1"/>
    <col min="7" max="7" width="41.83203125" customWidth="1"/>
    <col min="8" max="8" width="26.33203125" customWidth="1"/>
  </cols>
  <sheetData>
    <row r="1" spans="1:9">
      <c r="A1" s="2" t="s">
        <v>396</v>
      </c>
    </row>
    <row r="2" spans="1:9">
      <c r="A2" s="11" t="s">
        <v>19</v>
      </c>
    </row>
    <row r="3" spans="1:9">
      <c r="A3" s="11" t="s">
        <v>22</v>
      </c>
    </row>
    <row r="4" spans="1:9">
      <c r="A4" s="11" t="s">
        <v>20</v>
      </c>
    </row>
    <row r="5" spans="1:9">
      <c r="A5" s="11" t="s">
        <v>27</v>
      </c>
    </row>
    <row r="6" spans="1:9">
      <c r="A6" s="11" t="s">
        <v>28</v>
      </c>
    </row>
    <row r="7" spans="1:9">
      <c r="A7" s="11" t="s">
        <v>33</v>
      </c>
    </row>
    <row r="8" spans="1:9">
      <c r="A8" s="11" t="s">
        <v>416</v>
      </c>
    </row>
    <row r="10" spans="1:9">
      <c r="A10" t="s">
        <v>21</v>
      </c>
    </row>
    <row r="12" spans="1:9">
      <c r="A12" s="2" t="s">
        <v>24</v>
      </c>
      <c r="C12" s="2" t="s">
        <v>25</v>
      </c>
      <c r="D12" s="2"/>
      <c r="F12" s="2" t="s">
        <v>26</v>
      </c>
      <c r="G12" s="2"/>
    </row>
    <row r="13" spans="1:9">
      <c r="C13" t="s">
        <v>0</v>
      </c>
      <c r="D13" t="s">
        <v>1</v>
      </c>
      <c r="F13" t="s">
        <v>0</v>
      </c>
      <c r="G13" t="s">
        <v>1</v>
      </c>
      <c r="H13" t="s">
        <v>7</v>
      </c>
      <c r="I13" t="s">
        <v>8</v>
      </c>
    </row>
    <row r="14" spans="1:9">
      <c r="C14">
        <v>1</v>
      </c>
      <c r="D14" t="s">
        <v>2</v>
      </c>
      <c r="F14">
        <v>1</v>
      </c>
      <c r="G14" t="s">
        <v>9</v>
      </c>
      <c r="H14">
        <v>240</v>
      </c>
      <c r="I14">
        <v>5</v>
      </c>
    </row>
    <row r="15" spans="1:9">
      <c r="C15">
        <v>2</v>
      </c>
      <c r="D15" t="s">
        <v>3</v>
      </c>
      <c r="F15">
        <v>2</v>
      </c>
      <c r="G15" t="s">
        <v>10</v>
      </c>
      <c r="H15">
        <v>120</v>
      </c>
      <c r="I15">
        <v>6</v>
      </c>
    </row>
    <row r="16" spans="1:9">
      <c r="C16">
        <v>3</v>
      </c>
      <c r="D16" t="s">
        <v>4</v>
      </c>
      <c r="F16">
        <v>3</v>
      </c>
      <c r="G16" t="s">
        <v>11</v>
      </c>
      <c r="H16">
        <v>150</v>
      </c>
      <c r="I16">
        <v>4</v>
      </c>
    </row>
    <row r="17" spans="1:10">
      <c r="C17">
        <v>4</v>
      </c>
      <c r="D17" t="s">
        <v>23</v>
      </c>
      <c r="F17">
        <v>4</v>
      </c>
      <c r="G17" t="s">
        <v>12</v>
      </c>
      <c r="H17">
        <v>5</v>
      </c>
      <c r="I17">
        <v>6</v>
      </c>
    </row>
    <row r="18" spans="1:10">
      <c r="C18">
        <v>5</v>
      </c>
      <c r="D18" t="s">
        <v>5</v>
      </c>
      <c r="F18">
        <v>5</v>
      </c>
      <c r="G18" t="s">
        <v>13</v>
      </c>
      <c r="H18">
        <v>240</v>
      </c>
      <c r="I18">
        <v>1</v>
      </c>
    </row>
    <row r="19" spans="1:10">
      <c r="C19">
        <v>6</v>
      </c>
      <c r="D19" t="s">
        <v>6</v>
      </c>
      <c r="F19">
        <v>6</v>
      </c>
      <c r="G19" t="s">
        <v>14</v>
      </c>
      <c r="H19">
        <v>180</v>
      </c>
      <c r="I19">
        <v>2</v>
      </c>
    </row>
    <row r="20" spans="1:10">
      <c r="F20">
        <v>7</v>
      </c>
      <c r="G20" t="s">
        <v>15</v>
      </c>
      <c r="H20">
        <v>90</v>
      </c>
      <c r="I20">
        <v>2</v>
      </c>
    </row>
    <row r="21" spans="1:10">
      <c r="F21">
        <v>8</v>
      </c>
      <c r="G21" t="s">
        <v>16</v>
      </c>
      <c r="H21">
        <v>270</v>
      </c>
      <c r="I21">
        <v>3</v>
      </c>
    </row>
    <row r="22" spans="1:10">
      <c r="F22">
        <v>9</v>
      </c>
      <c r="G22" t="s">
        <v>17</v>
      </c>
      <c r="H22">
        <v>66</v>
      </c>
      <c r="I22">
        <v>3</v>
      </c>
    </row>
    <row r="23" spans="1:10">
      <c r="F23">
        <v>10</v>
      </c>
      <c r="G23" t="s">
        <v>18</v>
      </c>
      <c r="H23">
        <v>180</v>
      </c>
      <c r="I23">
        <v>2</v>
      </c>
    </row>
    <row r="25" spans="1:10">
      <c r="A25" s="2" t="s">
        <v>29</v>
      </c>
      <c r="D25" s="2" t="str">
        <f>"=relRange(C14:D19)"</f>
        <v>=relRange(C14:D19)</v>
      </c>
      <c r="G25" s="2" t="str">
        <f>"=relRange(F14:I23)"</f>
        <v>=relRange(F14:I23)</v>
      </c>
      <c r="J25" s="2"/>
    </row>
    <row r="26" spans="1:10" ht="156" customHeight="1">
      <c r="D26" s="1" t="str">
        <f>[1]!relRange(C14:D19)</f>
        <v>1::Sony_x000D_2::Creative Labs_x000D_3::Hewlett Packard_x000D_4::Iomega_x000D_5::Fujitsu_x000D_6::Winchester</v>
      </c>
      <c r="G26" s="1" t="str">
        <f>[1]!relRange(F14:I23)</f>
        <v>1::Hard drive::240::5_x000D_2::Memory::120::6_x000D_3::ZIP drive::150::4_x000D_4::Floppy disk::5::6_x000D_5::Monitor::240::1_x000D_6::DVD drive::180::2_x000D_7::CD drive::90::2_x000D_8::Printer::270::3_x000D_9::Toner cartridge::66::3_x000D_10::DVD burner::180::2</v>
      </c>
    </row>
    <row r="27" spans="1:10">
      <c r="A27" s="4" t="s">
        <v>30</v>
      </c>
    </row>
    <row r="29" spans="1:10">
      <c r="A29" s="2" t="s">
        <v>31</v>
      </c>
      <c r="D29" s="2" t="str">
        <f>"=relSelect(""%1&gt;33"";D26)"</f>
        <v>=relSelect("%1&gt;33";D26)</v>
      </c>
      <c r="G29" s="2" t="str">
        <f>"=relselect(""LEFT($2,1)=""""M"""""";G26)"</f>
        <v>=relselect("LEFT($2,1)=""M""";G26)</v>
      </c>
    </row>
    <row r="30" spans="1:10" ht="45">
      <c r="D30" s="1" t="str">
        <f>[1]!relSelect("%1&gt;3",D26)</f>
        <v>4::Iomega_x000D_5::Fujitsu_x000D_6::Winchester</v>
      </c>
      <c r="G30" s="1" t="str">
        <f>[1]!relSelect("LEFT($2)=""M""",G26)</f>
        <v>2::Memory::120::6_x000D_5::Monitor::240::1</v>
      </c>
    </row>
    <row r="31" spans="1:10">
      <c r="A31" t="s">
        <v>71</v>
      </c>
    </row>
    <row r="32" spans="1:10">
      <c r="A32" t="s">
        <v>72</v>
      </c>
    </row>
    <row r="34" spans="1:8">
      <c r="A34" s="2" t="s">
        <v>32</v>
      </c>
      <c r="D34" s="2" t="str">
        <f>"=relProject(""1"";D26)"</f>
        <v>=relProject("1";D26)</v>
      </c>
      <c r="G34" s="2" t="str">
        <f>"=relProject(""2::3"";G26)"</f>
        <v>=relProject("2::3";G26)</v>
      </c>
      <c r="H34" s="2" t="str">
        <f>"=relProject(""SUM 3"";G30)"</f>
        <v>=relProject("SUM 3";G30)</v>
      </c>
    </row>
    <row r="35" spans="1:8" ht="161" customHeight="1">
      <c r="D35" s="1" t="str">
        <f>[1]!relProject("1",D26)</f>
        <v>1_x000D_2_x000D_3_x000D_4_x000D_5_x000D_6</v>
      </c>
      <c r="G35" s="1" t="str">
        <f>[1]!relProject("2::3",G26)</f>
        <v>Hard drive::240_x000D_Memory::120_x000D_ZIP drive::150_x000D_Floppy disk::5_x000D_Monitor::240_x000D_DVD drive::180_x000D_CD drive::90_x000D_Printer::270_x000D_Toner cartridge::66_x000D_DVD burner::180</v>
      </c>
      <c r="H35" s="10" t="str">
        <f>[1]!relProject("SUM 3",G30)</f>
        <v>360</v>
      </c>
    </row>
    <row r="36" spans="1:8">
      <c r="A36" t="s">
        <v>92</v>
      </c>
    </row>
    <row r="38" spans="1:8">
      <c r="A38" s="2" t="s">
        <v>34</v>
      </c>
      <c r="D38" s="2" t="str">
        <f>"=relExtend(""%1*2"";D35)"</f>
        <v>=relExtend("%1*2";D35)</v>
      </c>
      <c r="G38" s="2" t="str">
        <f>"=relExtend(""LEFT($1,1)"";G35)"</f>
        <v>=relExtend("LEFT($1,1)";G35)</v>
      </c>
    </row>
    <row r="39" spans="1:8" ht="146" customHeight="1">
      <c r="D39" s="1" t="str">
        <f>[1]!relExtend("%1*2",D35)</f>
        <v>1::2_x000D_2::4_x000D_3::6_x000D_4::8_x000D_5::10_x000D_6::12</v>
      </c>
      <c r="G39" s="1" t="str">
        <f>[1]!relExtend("LEFT($1,1)",G35)</f>
        <v>Hard drive::240::H_x000D_Memory::120::M_x000D_ZIP drive::150::Z_x000D_Floppy disk::5::F_x000D_Monitor::240::M_x000D_DVD drive::180::D_x000D_CD drive::90::C_x000D_Printer::270::P_x000D_Toner cartridge::66::T_x000D_DVD burner::180::D</v>
      </c>
    </row>
    <row r="40" spans="1:8">
      <c r="A40" t="s">
        <v>35</v>
      </c>
    </row>
    <row r="42" spans="1:8">
      <c r="A42" s="2" t="s">
        <v>36</v>
      </c>
      <c r="D42" s="2" t="str">
        <f>"=relUnion(D26;D39)"</f>
        <v>=relUnion(D26;D39)</v>
      </c>
      <c r="G42" s="2" t="str">
        <f>"=relUnion(G26;G30)"</f>
        <v>=relUnion(G26;G30)</v>
      </c>
    </row>
    <row r="43" spans="1:8" ht="181" customHeight="1">
      <c r="D43" s="1" t="str">
        <f>[1]!relUnion(D26,D39)</f>
        <v>1::Sony_x000D_2::Creative Labs_x000D_3::Hewlett Packard_x000D_4::Iomega_x000D_5::Fujitsu_x000D_6::Winchester_x000D_1::2_x000D_2::4_x000D_3::6_x000D_4::8_x000D_5::10_x000D_6::12</v>
      </c>
      <c r="G43" s="1" t="str">
        <f>[1]!relUnion(G26,G30)</f>
        <v>1::Hard drive::240::5_x000D_2::Memory::120::6_x000D_3::ZIP drive::150::4_x000D_4::Floppy disk::5::6_x000D_5::Monitor::240::1_x000D_6::DVD drive::180::2_x000D_7::CD drive::90::2_x000D_8::Printer::270::3_x000D_9::Toner cartridge::66::3_x000D_10::DVD burner::180::2</v>
      </c>
    </row>
    <row r="44" spans="1:8">
      <c r="A44" t="s">
        <v>37</v>
      </c>
    </row>
    <row r="46" spans="1:8">
      <c r="A46" s="2" t="s">
        <v>38</v>
      </c>
      <c r="D46" s="2" t="str">
        <f>"=relDifference(D43;D39)"</f>
        <v>=relDifference(D43;D39)</v>
      </c>
    </row>
    <row r="47" spans="1:8" ht="95" customHeight="1">
      <c r="D47" s="1" t="str">
        <f>[1]!reldifference(D43,D39)</f>
        <v>1::Sony_x000D_2::Creative Labs_x000D_3::Hewlett Packard_x000D_4::Iomega_x000D_5::Fujitsu_x000D_6::Winchester</v>
      </c>
    </row>
    <row r="48" spans="1:8">
      <c r="A48" t="s">
        <v>39</v>
      </c>
    </row>
    <row r="50" spans="1:7">
      <c r="A50" s="2" t="s">
        <v>40</v>
      </c>
      <c r="D50" s="2" t="str">
        <f>"=relJoin(""%1=%6"";D26;G26)"</f>
        <v>=relJoin("%1=%6";D26;G26)</v>
      </c>
      <c r="G50" s="2" t="str">
        <f>"=relJoin(""true"";D26;G26)"</f>
        <v>=relJoin("true";D26;G26)</v>
      </c>
    </row>
    <row r="51" spans="1:7" ht="172" customHeight="1">
      <c r="D51" s="1" t="str">
        <f>[1]!relJoin("%1=%6",D26,G26)</f>
        <v>1::Sony::5::Monitor::240::1_x000D_2::Creative Labs::6::DVD drive::180::2_x000D_2::Creative Labs::7::CD drive::90::2_x000D_2::Creative Labs::10::DVD burner::180::2_x000D_3::Hewlett Packard::8::Printer::270::3_x000D_3::Hewlett Packard::9::Toner cartridge::66::3_x000D_4::Iomega::3::ZIP drive::150::4_x000D_5::Fujitsu::1::Hard drive::240::5_x000D_6::Winchester::2::Memory::120::6_x000D_6::Winchester::4::Floppy disk::5::6</v>
      </c>
      <c r="G51" s="3" t="str">
        <f>[1]!relJoin("true",D26,G26)</f>
        <v>1::Sony::1::Hard drive::240::5_x000D_1::Sony::2::Memory::120::6_x000D_1::Sony::3::ZIP drive::150::4_x000D_1::Sony::4::Floppy disk::5::6_x000D_1::Sony::5::Monitor::240::1_x000D_1::Sony::6::DVD drive::180::2_x000D_1::Sony::7::CD drive::90::2_x000D_1::Sony::8::Printer::270::3_x000D_1::Sony::9::Toner cartridge::66::3_x000D_1::Sony::10::DVD burner::180::2_x000D_2::Creative Labs::1::Hard drive::240::5_x000D_2::Creative Labs::2::Memory::120::6_x000D_2::Creative Labs::3::ZIP drive::150::4_x000D_2::Creative Labs::4::Floppy disk::5::6_x000D_2::Creative Labs::5::Monitor::240::1_x000D_2::Creative Labs::6::DVD drive::180::2_x000D_2::Creative Labs::7::CD drive::90::2_x000D_2::Creative Labs::8::Printer::270::3_x000D_2::Creative Labs::9::Toner cartridge::66::3_x000D_2::Creative Labs::10::DVD burner::180::2_x000D_3::Hewlett Packard::1::Hard drive::240::5_x000D_3::Hewlett Packard::2::Memory::120::6_x000D_3::Hewlett Packard::3::ZIP drive::150::4_x000D_3::Hewlett Packard::4::Floppy disk::5::6_x000D_3::Hewlett Packard::5::Monitor::240::1_x000D_3::Hewlett Packard::6::DVD drive::180::2_x000D_3::Hewlett Packard::7::CD drive::90::2_x000D_3::Hewlett Packard::8::Printer::270::3_x000D_3::Hewlett Packard::9::Toner cartridge::66::3_x000D_3::Hewlett Packard::10::DVD burner::180::2_x000D_4::Iomega::1::Hard drive::240::5_x000D_4::Iomega::2::Memory::120::6_x000D_4::Iomega::3::ZIP drive::150::4_x000D_4::Iomega::4::Floppy disk::5::6_x000D_4::Iomega::5::Monitor::240::1_x000D_4::Iomega::6::DVD drive::180::2_x000D_4::Iomega::7::CD drive::90::2_x000D_4::Iomega::8::Printer::270::3_x000D_4::Iomega::9::Toner cartridge::66::3_x000D_4::Iomega::10::DVD burner::180::2_x000D_5::Fujitsu::1::Hard drive::240::5_x000D_5::Fujitsu::2::Memory::120::6_x000D_5::Fujitsu::3::ZIP drive::150::4_x000D_5::Fujitsu::4::Floppy disk::5::6_x000D_5::Fujitsu::5::Monitor::240::1_x000D_5::Fujitsu::6::DVD drive::180::2_x000D_5::Fujitsu::7::CD drive::90::2_x000D_5::Fujitsu::8::Printer::270::3_x000D_5::Fujitsu::9::Toner cartridge::66::3_x000D_5::Fujitsu::10::DVD burner::180::2_x000D_6::Winchester::1::Hard drive::240::5_x000D_6::Winchester::2::Memory::120::6_x000D_6::Winchester::3::ZIP drive::150::4_x000D_6::Winchester::4::Floppy disk::5::6_x000D_6::Winchester::5::Monitor::240::1_x000D_6::Winchester::6::DVD drive::180::2_x000D_6::Winchester::7::CD drive::90::2_x000D_6::Winchester::8::Printer::270::3_x000D_6::Winchester::9::Toner cartridge::66::3_x000D_6::Winchester::10::DVD burner::180::2</v>
      </c>
    </row>
    <row r="52" spans="1:7">
      <c r="A52" t="s">
        <v>41</v>
      </c>
      <c r="G52" s="3"/>
    </row>
    <row r="53" spans="1:7">
      <c r="A53" t="s">
        <v>42</v>
      </c>
      <c r="G53" s="3"/>
    </row>
    <row r="54" spans="1:7">
      <c r="A54" t="s">
        <v>43</v>
      </c>
      <c r="G54" s="3"/>
    </row>
    <row r="55" spans="1:7">
      <c r="A55" t="s">
        <v>44</v>
      </c>
      <c r="G55" s="3"/>
    </row>
    <row r="56" spans="1:7">
      <c r="A56" t="s">
        <v>45</v>
      </c>
      <c r="G56" s="3"/>
    </row>
    <row r="57" spans="1:7">
      <c r="G57" s="3"/>
    </row>
    <row r="58" spans="1:7">
      <c r="A58" s="2" t="s">
        <v>66</v>
      </c>
      <c r="D58" s="2" t="str">
        <f>"=relorder(""2 A::4 A"";D52)"</f>
        <v>=relorder("2 A::4 A";D52)</v>
      </c>
      <c r="G58" s="7" t="str">
        <f>"=relorder(""5 9"";D52)"</f>
        <v>=relorder("5 9";D52)</v>
      </c>
    </row>
    <row r="59" spans="1:7" ht="139" customHeight="1">
      <c r="D59" s="1" t="str">
        <f>[1]!relOrder("2 A::4 A",D51)</f>
        <v>2::Creative Labs::6::DVD drive::180::2_x000D_2::Creative Labs::7::CD drive::90::2_x000D_2::Creative Labs::10::DVD burner::180::2_x000D_5::Fujitsu::1::Hard drive::240::5_x000D_3::Hewlett Packard::8::Printer::270::3_x000D_3::Hewlett Packard::9::Toner cartridge::66::3_x000D_4::Iomega::3::ZIP drive::150::4_x000D_1::Sony::5::Monitor::240::1_x000D_6::Winchester::2::Memory::120::6_x000D_6::Winchester::4::Floppy disk::5::6</v>
      </c>
      <c r="G59" s="1" t="str">
        <f>[1]!relOrder("5 9",D51)</f>
        <v>3::Hewlett Packard::8::Printer::270::3_x000D_1::Sony::5::Monitor::240::1_x000D_5::Fujitsu::1::Hard drive::240::5_x000D_2::Creative Labs::6::DVD drive::180::2_x000D_2::Creative Labs::10::DVD burner::180::2_x000D_4::Iomega::3::ZIP drive::150::4_x000D_6::Winchester::2::Memory::120::6_x000D_2::Creative Labs::7::CD drive::90::2_x000D_3::Hewlett Packard::9::Toner cartridge::66::3_x000D_6::Winchester::4::Floppy disk::5::6</v>
      </c>
    </row>
    <row r="60" spans="1:7">
      <c r="A60" t="s">
        <v>67</v>
      </c>
      <c r="G60" s="3"/>
    </row>
    <row r="61" spans="1:7">
      <c r="A61" t="s">
        <v>68</v>
      </c>
      <c r="G61" s="3"/>
    </row>
    <row r="62" spans="1:7">
      <c r="A62" t="s">
        <v>69</v>
      </c>
      <c r="G62" s="3"/>
    </row>
    <row r="63" spans="1:7">
      <c r="G63" s="3"/>
    </row>
    <row r="64" spans="1:7">
      <c r="A64" t="s">
        <v>282</v>
      </c>
      <c r="D64" s="2" t="str">
        <f>"=relLimit(2;3;D59)"</f>
        <v>=relLimit(2;3;D59)</v>
      </c>
      <c r="G64" s="3"/>
    </row>
    <row r="65" spans="1:7" ht="45" customHeight="1">
      <c r="D65" s="1" t="str">
        <f>[1]!relLimit(2,3,D59)</f>
        <v>2::Creative Labs::7::CD drive::90::2_x000D_2::Creative Labs::10::DVD burner::180::2_x000D_5::Fujitsu::1::Hard drive::240::5</v>
      </c>
      <c r="G65" s="3"/>
    </row>
    <row r="66" spans="1:7">
      <c r="A66" t="s">
        <v>392</v>
      </c>
      <c r="D66" s="14"/>
      <c r="G66" s="3"/>
    </row>
    <row r="67" spans="1:7">
      <c r="G67" s="3"/>
    </row>
    <row r="68" spans="1:7">
      <c r="A68" s="2" t="s">
        <v>46</v>
      </c>
      <c r="D68" s="2" t="str">
        <f>"=relCell(D59;1;2)"</f>
        <v>=relCell(D59;1;2)</v>
      </c>
      <c r="G68" s="3"/>
    </row>
    <row r="69" spans="1:7">
      <c r="D69" t="str">
        <f>[1]!relCell(D59,1,2)</f>
        <v>Creative Labs</v>
      </c>
      <c r="G69" s="3"/>
    </row>
    <row r="70" spans="1:7">
      <c r="A70" t="s">
        <v>93</v>
      </c>
    </row>
    <row r="71" spans="1:7">
      <c r="A71" t="s">
        <v>221</v>
      </c>
    </row>
    <row r="72" spans="1:7">
      <c r="D72" s="2" t="str">
        <f>"=relCellArray(D59)"</f>
        <v>=relCellArray(D59)</v>
      </c>
    </row>
    <row r="73" spans="1:7">
      <c r="D73" t="str">
        <f t="array" ref="D73:G85">[1]!relCellArray(D59)</f>
        <v>2</v>
      </c>
      <c r="E73" t="str">
        <v>Creative Labs</v>
      </c>
      <c r="F73" t="str">
        <v>6</v>
      </c>
      <c r="G73" t="str">
        <v>DVD drive</v>
      </c>
    </row>
    <row r="74" spans="1:7">
      <c r="D74" t="str">
        <v>2</v>
      </c>
      <c r="E74" t="str">
        <v>Creative Labs</v>
      </c>
      <c r="F74" t="str">
        <v>7</v>
      </c>
      <c r="G74" t="str">
        <v>CD drive</v>
      </c>
    </row>
    <row r="75" spans="1:7">
      <c r="D75" t="str">
        <v>2</v>
      </c>
      <c r="E75" t="str">
        <v>Creative Labs</v>
      </c>
      <c r="F75" t="str">
        <v>10</v>
      </c>
      <c r="G75" t="str">
        <v>DVD burner</v>
      </c>
    </row>
    <row r="76" spans="1:7">
      <c r="D76" t="str">
        <v>5</v>
      </c>
      <c r="E76" t="str">
        <v>Fujitsu</v>
      </c>
      <c r="F76" t="str">
        <v>1</v>
      </c>
      <c r="G76" t="str">
        <v>Hard drive</v>
      </c>
    </row>
    <row r="77" spans="1:7">
      <c r="D77" t="str">
        <v>3</v>
      </c>
      <c r="E77" t="str">
        <v>Hewlett Packard</v>
      </c>
      <c r="F77" t="str">
        <v>8</v>
      </c>
      <c r="G77" t="str">
        <v>Printer</v>
      </c>
    </row>
    <row r="78" spans="1:7">
      <c r="D78" t="str">
        <v>3</v>
      </c>
      <c r="E78" t="str">
        <v>Hewlett Packard</v>
      </c>
      <c r="F78" t="str">
        <v>9</v>
      </c>
      <c r="G78" t="str">
        <v>Toner cartridge</v>
      </c>
    </row>
    <row r="79" spans="1:7">
      <c r="D79" t="str">
        <v>4</v>
      </c>
      <c r="E79" t="str">
        <v>Iomega</v>
      </c>
      <c r="F79" t="str">
        <v>3</v>
      </c>
      <c r="G79" t="str">
        <v>ZIP drive</v>
      </c>
    </row>
    <row r="80" spans="1:7">
      <c r="D80" t="str">
        <v>1</v>
      </c>
      <c r="E80" t="str">
        <v>Sony</v>
      </c>
      <c r="F80" t="str">
        <v>5</v>
      </c>
      <c r="G80" t="str">
        <v>Monitor</v>
      </c>
    </row>
    <row r="81" spans="1:7">
      <c r="D81" t="str">
        <v>6</v>
      </c>
      <c r="E81" t="str">
        <v>Winchester</v>
      </c>
      <c r="F81" t="str">
        <v>2</v>
      </c>
      <c r="G81" t="str">
        <v>Memory</v>
      </c>
    </row>
    <row r="82" spans="1:7">
      <c r="D82" t="str">
        <v>6</v>
      </c>
      <c r="E82" t="str">
        <v>Winchester</v>
      </c>
      <c r="F82" t="str">
        <v>4</v>
      </c>
      <c r="G82" t="str">
        <v>Floppy disk</v>
      </c>
    </row>
    <row r="83" spans="1:7">
      <c r="D83" t="str">
        <v/>
      </c>
      <c r="E83" t="str">
        <v/>
      </c>
      <c r="F83" t="str">
        <v/>
      </c>
      <c r="G83" t="str">
        <v/>
      </c>
    </row>
    <row r="84" spans="1:7">
      <c r="D84" t="str">
        <v/>
      </c>
      <c r="E84" t="str">
        <v/>
      </c>
      <c r="F84" t="str">
        <v/>
      </c>
      <c r="G84" t="str">
        <v/>
      </c>
    </row>
    <row r="85" spans="1:7">
      <c r="D85" t="str">
        <v/>
      </c>
      <c r="E85" t="str">
        <v/>
      </c>
      <c r="F85" t="str">
        <v/>
      </c>
      <c r="G85" t="str">
        <v/>
      </c>
    </row>
    <row r="87" spans="1:7">
      <c r="A87" s="2" t="s">
        <v>73</v>
      </c>
      <c r="C87" t="s">
        <v>75</v>
      </c>
      <c r="D87" t="s">
        <v>78</v>
      </c>
      <c r="E87" s="2" t="str">
        <f>"=relLike(C70;D70)"</f>
        <v>=relLike(C70;D70)</v>
      </c>
    </row>
    <row r="88" spans="1:7">
      <c r="C88" t="s">
        <v>74</v>
      </c>
      <c r="D88" t="s">
        <v>74</v>
      </c>
      <c r="E88" t="b">
        <f>[1]!relLike(C88,D88)</f>
        <v>1</v>
      </c>
      <c r="G88" t="b">
        <f>[1]!relLike("Hard drive","*ve")</f>
        <v>1</v>
      </c>
    </row>
    <row r="89" spans="1:7">
      <c r="C89" t="s">
        <v>74</v>
      </c>
      <c r="D89" t="s">
        <v>76</v>
      </c>
      <c r="E89" t="b">
        <f>[1]!relLike(C89,D89)</f>
        <v>0</v>
      </c>
    </row>
    <row r="90" spans="1:7">
      <c r="C90" t="s">
        <v>74</v>
      </c>
      <c r="D90" t="s">
        <v>77</v>
      </c>
      <c r="E90" t="b">
        <f>[1]!relLike(C90,D90)</f>
        <v>0</v>
      </c>
    </row>
    <row r="91" spans="1:7">
      <c r="C91" t="s">
        <v>79</v>
      </c>
      <c r="D91" t="s">
        <v>80</v>
      </c>
      <c r="E91" t="b">
        <f>[1]!relLike(C91,D91)</f>
        <v>1</v>
      </c>
    </row>
    <row r="92" spans="1:7">
      <c r="C92" t="s">
        <v>74</v>
      </c>
      <c r="D92" t="s">
        <v>81</v>
      </c>
      <c r="E92" t="b">
        <f>[1]!relLike(C92,D92)</f>
        <v>1</v>
      </c>
    </row>
    <row r="93" spans="1:7">
      <c r="C93" t="s">
        <v>74</v>
      </c>
      <c r="D93" t="s">
        <v>82</v>
      </c>
      <c r="E93" t="b">
        <f>[1]!relLike(C93,D93)</f>
        <v>0</v>
      </c>
    </row>
    <row r="94" spans="1:7">
      <c r="C94" t="s">
        <v>83</v>
      </c>
      <c r="D94" t="s">
        <v>84</v>
      </c>
      <c r="E94" t="b">
        <f>[1]!relLike(C94,D94)</f>
        <v>1</v>
      </c>
    </row>
    <row r="95" spans="1:7">
      <c r="C95" t="s">
        <v>85</v>
      </c>
      <c r="D95" t="s">
        <v>86</v>
      </c>
      <c r="E95" t="b">
        <f>[1]!relLike(C95,D95)</f>
        <v>1</v>
      </c>
    </row>
    <row r="96" spans="1:7">
      <c r="C96" t="s">
        <v>87</v>
      </c>
      <c r="D96" t="s">
        <v>88</v>
      </c>
      <c r="E96" t="b">
        <f>[1]!relLike(C96,D96)</f>
        <v>1</v>
      </c>
    </row>
    <row r="97" spans="1:7">
      <c r="C97" t="s">
        <v>89</v>
      </c>
      <c r="D97" t="s">
        <v>88</v>
      </c>
      <c r="E97" t="b">
        <f>[1]!relLike(C97,D97)</f>
        <v>0</v>
      </c>
    </row>
    <row r="98" spans="1:7" ht="115" customHeight="1">
      <c r="D98" s="22" t="s">
        <v>393</v>
      </c>
      <c r="G98" s="1" t="str">
        <f>[1]!relSelect("relLike($2,""*ve"")",G26)</f>
        <v>1::Hard drive::240::5_x000D_3::ZIP drive::150::4_x000D_6::DVD drive::180::2_x000D_7::CD drive::90::2</v>
      </c>
    </row>
    <row r="99" spans="1:7">
      <c r="A99" t="s">
        <v>90</v>
      </c>
    </row>
    <row r="100" spans="1:7">
      <c r="A100" t="s">
        <v>91</v>
      </c>
    </row>
    <row r="102" spans="1:7">
      <c r="A102" s="2" t="s">
        <v>394</v>
      </c>
      <c r="D102" s="16" t="str">
        <f>"=relRotate(D65)"</f>
        <v>=relRotate(D65)</v>
      </c>
    </row>
    <row r="103" spans="1:7" ht="75">
      <c r="D103" s="14" t="str">
        <f>[1]!relRotate(D65)</f>
        <v>2::2::5_x000D_Creative Labs::Creative Labs::Fujitsu_x000D_7::10::1_x000D_CD drive::DVD burner::Hard drive_x000D_90::180::240</v>
      </c>
    </row>
    <row r="104" spans="1:7">
      <c r="A104" t="s">
        <v>395</v>
      </c>
    </row>
    <row r="106" spans="1:7">
      <c r="A106" s="2" t="s">
        <v>222</v>
      </c>
      <c r="D106" s="2" t="s">
        <v>418</v>
      </c>
    </row>
    <row r="107" spans="1:7" ht="45">
      <c r="D107" s="14" t="str">
        <f>[1]!relFilter(C14:D19,"S %1&lt;4", "P 2")</f>
        <v>Sony_x000D_Creative Labs_x000D_Hewlett Packard</v>
      </c>
    </row>
    <row r="108" spans="1:7">
      <c r="D108" s="16" t="s">
        <v>419</v>
      </c>
    </row>
    <row r="109" spans="1:7" ht="44" customHeight="1">
      <c r="D109" s="14" t="str">
        <f>[1]!relFilter(C14:D19,"S %1&lt;4", "P 2", "O 1 A")</f>
        <v>Creative Labs_x000D_Hewlett Packard_x000D_Sony</v>
      </c>
    </row>
    <row r="110" spans="1:7">
      <c r="D110" s="16" t="s">
        <v>422</v>
      </c>
    </row>
    <row r="111" spans="1:7" ht="49" customHeight="1">
      <c r="D111" s="3" t="str">
        <f>[1]!relFilter(C14:D19,"S %1&lt;4", "P 2", "O 1 A","L 1 2")</f>
        <v>Creative Labs_x000D_Hewlett Packard</v>
      </c>
    </row>
    <row r="112" spans="1:7">
      <c r="A112" t="s">
        <v>417</v>
      </c>
      <c r="D112" s="25"/>
    </row>
    <row r="113" spans="1:4">
      <c r="A113" s="9" t="s">
        <v>420</v>
      </c>
      <c r="D113" s="25"/>
    </row>
    <row r="114" spans="1:4">
      <c r="A114" s="9" t="s">
        <v>421</v>
      </c>
      <c r="D114" s="25"/>
    </row>
    <row r="116" spans="1:4">
      <c r="A116" s="2" t="s">
        <v>47</v>
      </c>
    </row>
    <row r="117" spans="1:4">
      <c r="A117" s="12" t="s">
        <v>218</v>
      </c>
    </row>
    <row r="118" spans="1:4">
      <c r="A118" s="12" t="s">
        <v>220</v>
      </c>
    </row>
    <row r="119" spans="1:4">
      <c r="A119" s="12" t="s">
        <v>219</v>
      </c>
    </row>
    <row r="120" spans="1:4">
      <c r="A120" s="12" t="s">
        <v>70</v>
      </c>
    </row>
    <row r="121" spans="1:4">
      <c r="A121" s="9"/>
    </row>
    <row r="123" spans="1:4">
      <c r="A123" s="5" t="s">
        <v>48</v>
      </c>
    </row>
    <row r="124" spans="1:4">
      <c r="A124" s="21">
        <v>42499</v>
      </c>
    </row>
  </sheetData>
  <hyperlinks>
    <hyperlink ref="A123" r:id="rId1"/>
  </hyperlink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J60"/>
  <sheetViews>
    <sheetView showRuler="0" topLeftCell="A28" workbookViewId="0">
      <selection activeCell="G33" sqref="G33"/>
    </sheetView>
  </sheetViews>
  <sheetFormatPr baseColWidth="10" defaultRowHeight="15" x14ac:dyDescent="0"/>
  <cols>
    <col min="4" max="4" width="30.5" customWidth="1"/>
    <col min="7" max="7" width="49.5" customWidth="1"/>
    <col min="8" max="8" width="30.1640625" customWidth="1"/>
    <col min="9" max="9" width="45.1640625" customWidth="1"/>
  </cols>
  <sheetData>
    <row r="1" spans="1:9">
      <c r="A1" s="2" t="s">
        <v>49</v>
      </c>
    </row>
    <row r="3" spans="1:9">
      <c r="A3" t="s">
        <v>50</v>
      </c>
    </row>
    <row r="6" spans="1:9">
      <c r="A6" s="2" t="s">
        <v>24</v>
      </c>
      <c r="C6" s="2" t="s">
        <v>25</v>
      </c>
      <c r="D6" s="2"/>
      <c r="F6" s="2" t="s">
        <v>26</v>
      </c>
      <c r="G6" s="2"/>
    </row>
    <row r="7" spans="1:9">
      <c r="C7">
        <v>1</v>
      </c>
      <c r="D7">
        <v>2</v>
      </c>
      <c r="F7" t="s">
        <v>0</v>
      </c>
      <c r="G7" t="s">
        <v>1</v>
      </c>
      <c r="H7" t="s">
        <v>7</v>
      </c>
      <c r="I7" t="s">
        <v>8</v>
      </c>
    </row>
    <row r="8" spans="1:9">
      <c r="C8">
        <v>1</v>
      </c>
      <c r="D8" t="s">
        <v>2</v>
      </c>
      <c r="F8">
        <v>1</v>
      </c>
      <c r="G8" t="s">
        <v>9</v>
      </c>
      <c r="H8">
        <v>240</v>
      </c>
      <c r="I8">
        <v>5</v>
      </c>
    </row>
    <row r="9" spans="1:9">
      <c r="C9">
        <v>2</v>
      </c>
      <c r="D9" t="s">
        <v>3</v>
      </c>
      <c r="F9">
        <v>2</v>
      </c>
      <c r="G9" t="s">
        <v>10</v>
      </c>
      <c r="H9">
        <v>120</v>
      </c>
      <c r="I9">
        <v>6</v>
      </c>
    </row>
    <row r="10" spans="1:9">
      <c r="C10">
        <v>3</v>
      </c>
      <c r="D10" t="s">
        <v>4</v>
      </c>
      <c r="F10">
        <v>3</v>
      </c>
      <c r="G10" t="s">
        <v>11</v>
      </c>
      <c r="H10">
        <v>150</v>
      </c>
      <c r="I10">
        <v>4</v>
      </c>
    </row>
    <row r="11" spans="1:9">
      <c r="C11">
        <v>4</v>
      </c>
      <c r="D11" t="s">
        <v>23</v>
      </c>
      <c r="F11">
        <v>4</v>
      </c>
      <c r="G11" t="s">
        <v>12</v>
      </c>
      <c r="H11">
        <v>5</v>
      </c>
      <c r="I11">
        <v>6</v>
      </c>
    </row>
    <row r="12" spans="1:9">
      <c r="C12">
        <v>5</v>
      </c>
      <c r="D12" t="s">
        <v>5</v>
      </c>
      <c r="F12">
        <v>5</v>
      </c>
      <c r="G12" t="s">
        <v>13</v>
      </c>
      <c r="H12">
        <v>240</v>
      </c>
      <c r="I12">
        <v>1</v>
      </c>
    </row>
    <row r="13" spans="1:9">
      <c r="C13">
        <v>6</v>
      </c>
      <c r="D13" t="s">
        <v>6</v>
      </c>
      <c r="F13">
        <v>6</v>
      </c>
      <c r="G13" t="s">
        <v>14</v>
      </c>
      <c r="H13">
        <v>180</v>
      </c>
      <c r="I13">
        <v>2</v>
      </c>
    </row>
    <row r="14" spans="1:9">
      <c r="F14">
        <v>7</v>
      </c>
      <c r="G14" t="s">
        <v>15</v>
      </c>
      <c r="H14">
        <v>90</v>
      </c>
      <c r="I14">
        <v>2</v>
      </c>
    </row>
    <row r="15" spans="1:9">
      <c r="F15">
        <v>8</v>
      </c>
      <c r="G15" t="s">
        <v>16</v>
      </c>
      <c r="H15">
        <v>270</v>
      </c>
      <c r="I15">
        <v>3</v>
      </c>
    </row>
    <row r="16" spans="1:9">
      <c r="F16">
        <v>9</v>
      </c>
      <c r="G16" t="s">
        <v>17</v>
      </c>
      <c r="H16">
        <v>66</v>
      </c>
      <c r="I16">
        <v>3</v>
      </c>
    </row>
    <row r="17" spans="1:10">
      <c r="F17">
        <v>10</v>
      </c>
      <c r="G17" t="s">
        <v>18</v>
      </c>
      <c r="H17">
        <v>180</v>
      </c>
      <c r="I17">
        <v>2</v>
      </c>
    </row>
    <row r="19" spans="1:10">
      <c r="A19" s="2" t="s">
        <v>29</v>
      </c>
      <c r="D19" s="2" t="str">
        <f>"=relRange(C14:D19)"</f>
        <v>=relRange(C14:D19)</v>
      </c>
      <c r="G19" s="2" t="str">
        <f>"=relRange(F14:I23)"</f>
        <v>=relRange(F14:I23)</v>
      </c>
      <c r="J19" s="2"/>
    </row>
    <row r="20" spans="1:10" ht="156" customHeight="1">
      <c r="D20" s="1" t="str">
        <f>[1]!relRange(C8:D13)</f>
        <v>1::Sony_x000D_2::Creative Labs_x000D_3::Hewlett Packard_x000D_4::Iomega_x000D_5::Fujitsu_x000D_6::Winchester</v>
      </c>
      <c r="G20" s="1" t="str">
        <f>[1]!relRange(F8:I17)</f>
        <v>1::Hard drive::240::5_x000D_2::Memory::120::6_x000D_3::ZIP drive::150::4_x000D_4::Floppy disk::5::6_x000D_5::Monitor::240::1_x000D_6::DVD drive::180::2_x000D_7::CD drive::90::2_x000D_8::Printer::270::3_x000D_9::Toner cartridge::66::3_x000D_10::DVD burner::180::2</v>
      </c>
    </row>
    <row r="22" spans="1:10">
      <c r="A22" s="2" t="s">
        <v>51</v>
      </c>
      <c r="G22" s="2" t="str">
        <f>"=relProject(""2::4"";G20)"</f>
        <v>=relProject("2::4";G20)</v>
      </c>
    </row>
    <row r="23" spans="1:10" ht="171" customHeight="1">
      <c r="G23" s="1" t="str">
        <f>[1]!relProject("2::4",G20)</f>
        <v>Hard drive::5_x000D_Memory::6_x000D_ZIP drive::4_x000D_Floppy disk::6_x000D_Monitor::1_x000D_DVD drive::2_x000D_CD drive::2_x000D_Printer::3_x000D_Toner cartridge::3_x000D_DVD burner::2</v>
      </c>
    </row>
    <row r="25" spans="1:10">
      <c r="A25" s="2" t="s">
        <v>52</v>
      </c>
      <c r="G25" s="2" t="str">
        <f>"=relProject(""2"";relselect(""%3&lt;=200"";$G$20))"</f>
        <v>=relProject("2";relselect("%3&lt;=200";$G$20))</v>
      </c>
    </row>
    <row r="26" spans="1:10" ht="111" customHeight="1">
      <c r="G26" s="1" t="str">
        <f>[1]!relProject("2",[1]!relSelect("%3&lt;=200",$G$20))</f>
        <v>Memory_x000D_ZIP drive_x000D_Floppy disk_x000D_DVD drive_x000D_CD drive_x000D_Toner cartridge_x000D_DVD burner</v>
      </c>
    </row>
    <row r="28" spans="1:10">
      <c r="A28" s="2" t="s">
        <v>53</v>
      </c>
      <c r="G28" s="2" t="str">
        <f>"=relProject(""2"";relselect(""AND(%3&gt;=60,%3&lt;=120)"";$G$20))"</f>
        <v>=relProject("2";relselect("AND(%3&gt;=60,%3&lt;=120)";$G$20))</v>
      </c>
    </row>
    <row r="29" spans="1:10" ht="152" customHeight="1">
      <c r="G29" s="1" t="str">
        <f>[1]!relProject("2",[1]!relSelect("AND(%3&gt;=60,%3&lt;=120)",$G$20))</f>
        <v>Memory_x000D_CD drive_x000D_Toner cartridge</v>
      </c>
    </row>
    <row r="30" spans="1:10">
      <c r="A30" t="s">
        <v>54</v>
      </c>
    </row>
    <row r="32" spans="1:10">
      <c r="A32" s="2" t="s">
        <v>55</v>
      </c>
      <c r="G32" s="2" t="str">
        <f>"=relProject(""2::5"";relExtend(""%3*100"";$G$20))"</f>
        <v>=relProject("2::5";relExtend("%3*100";$G$20))</v>
      </c>
    </row>
    <row r="33" spans="1:8" ht="175" customHeight="1">
      <c r="G33" s="1" t="str">
        <f>[1]!relProject("2::5",[1]!relExtend("%3*100",$G$20))</f>
        <v>Hard drive::24000_x000D_Memory::12000_x000D_ZIP drive::15000_x000D_Floppy disk::500_x000D_Monitor::24000_x000D_DVD drive::18000_x000D_CD drive::9000_x000D_Printer::27000_x000D_Toner cartridge::6600_x000D_DVD burner::18000</v>
      </c>
    </row>
    <row r="34" spans="1:8">
      <c r="H34" s="24"/>
    </row>
    <row r="35" spans="1:8">
      <c r="A35" s="2" t="s">
        <v>56</v>
      </c>
      <c r="G35" s="2" t="str">
        <f>"=relProject(""AVG 3"";$G$20)"</f>
        <v>=relProject("AVG 3";$G$20)</v>
      </c>
    </row>
    <row r="36" spans="1:8">
      <c r="G36" t="str">
        <f>[1]!relProject("AVG 3",$G$20)</f>
        <v>154.1</v>
      </c>
    </row>
    <row r="38" spans="1:8">
      <c r="A38" s="2" t="s">
        <v>57</v>
      </c>
      <c r="G38" s="2" t="str">
        <f>"=relProject(""AVG 3"";relSelect(""%4=2"";$G$20))"</f>
        <v>=relProject("AVG 3";relSelect("%4=2";$G$20))</v>
      </c>
    </row>
    <row r="39" spans="1:8">
      <c r="G39" t="str">
        <f>[1]!relProject("AVG 3",[1]!relSelect("%4=2",$G$20))</f>
        <v>150</v>
      </c>
    </row>
    <row r="41" spans="1:8">
      <c r="A41" s="2" t="s">
        <v>58</v>
      </c>
      <c r="G41" s="2" t="str">
        <f>"=relProject(""COUNT 1"";relSelect(""%3&gt;=180"";$G$20))"</f>
        <v>=relProject("COUNT 1";relSelect("%3&gt;=180";$G$20))</v>
      </c>
    </row>
    <row r="42" spans="1:8">
      <c r="G42" s="4" t="str">
        <f>[1]!relProject("COUNT 1",[1]!relSelect("%3&gt;=180",$G$20))</f>
        <v>5</v>
      </c>
    </row>
    <row r="44" spans="1:8">
      <c r="A44" s="2" t="s">
        <v>59</v>
      </c>
    </row>
    <row r="45" spans="1:8">
      <c r="A45" s="2"/>
      <c r="G45" s="2" t="str">
        <f>"=relorder(""2 9::1 A"";relProject(""2::3"";relselect(""%3&gt;180"";$G$20)))"</f>
        <v>=relorder("2 9::1 A";relProject("2::3";relselect("%3&gt;180";$G$20)))</v>
      </c>
    </row>
    <row r="46" spans="1:8" ht="86" customHeight="1">
      <c r="G46" s="8" t="str">
        <f>[1]!relOrder("2 9::1 A",[1]!relProject("2::3",[1]!relSelect("%3&gt;180",$G$20)))</f>
        <v>Printer::270_x000D_Hard drive::240_x000D_Monitor::240</v>
      </c>
    </row>
    <row r="48" spans="1:8">
      <c r="A48" s="2" t="s">
        <v>60</v>
      </c>
      <c r="G48" s="2" t="str">
        <f>"=relProject(""3::4::5::1::2"";relJoin(""%1=%6"";$D$20;$G20))"</f>
        <v>=relProject("3::4::5::1::2";relJoin("%1=%6";$D$20;$G20))</v>
      </c>
    </row>
    <row r="49" spans="1:9" ht="150">
      <c r="G49" s="1" t="str">
        <f>[1]!relProject("3::4::5::1::2",[1]!relJoin("%1=%6",$D$20,$G$20))</f>
        <v>5::Monitor::240::1::Sony_x000D_6::DVD drive::180::2::Creative Labs_x000D_7::CD drive::90::2::Creative Labs_x000D_10::DVD burner::180::2::Creative Labs_x000D_8::Printer::270::3::Hewlett Packard_x000D_9::Toner cartridge::66::3::Hewlett Packard_x000D_3::ZIP drive::150::4::Iomega_x000D_1::Hard drive::240::5::Fujitsu_x000D_2::Memory::120::6::Winchester_x000D_4::Floppy disk::5::6::Winchester</v>
      </c>
    </row>
    <row r="51" spans="1:9">
      <c r="A51" s="2" t="s">
        <v>61</v>
      </c>
      <c r="G51" s="2" t="str">
        <f>"=relProject(""4::AVG 3"";$G$20)"</f>
        <v>=relProject("4::AVG 3";$G$20)</v>
      </c>
    </row>
    <row r="52" spans="1:9" ht="98" customHeight="1">
      <c r="G52" s="1" t="str">
        <f>[1]!relProject("4::AVG 3",$G$20)</f>
        <v>5::240_x000D_4::150_x000D_6::62.5_x000D_1::240_x000D_3::168_x000D_2::150</v>
      </c>
    </row>
    <row r="53" spans="1:9">
      <c r="A53" s="2" t="s">
        <v>62</v>
      </c>
      <c r="G53" s="2" t="str">
        <f>"=relProject(""2::AVG 5"";relJoin(""%1=%6"";$D$20;$G$20))"</f>
        <v>=relProject("2::AVG 5";relJoin("%1=%6";$D$20;$G$20))</v>
      </c>
    </row>
    <row r="54" spans="1:9" ht="94" customHeight="1">
      <c r="G54" s="1" t="str">
        <f>[1]!relProject("2::AVG 5",[1]!relJoin("%1=%6",$D$20,$G$20))</f>
        <v>Sony::240_x000D_Creative Labs::150_x000D_Hewlett Packard::168_x000D_Iomega::150_x000D_Fujitsu::240_x000D_Winchester::62.5</v>
      </c>
    </row>
    <row r="55" spans="1:9">
      <c r="A55" s="2" t="s">
        <v>63</v>
      </c>
      <c r="G55" s="2" t="str">
        <f>"=relProject(""1"";relselect(""%2&gt;=150"";relProject(""2::AVG 5"";relJoin(""%1=%6"";$D$20;$G$20))))"</f>
        <v>=relProject("1";relselect("%2&gt;=150";relProject("2::AVG 5";relJoin("%1=%6";$D$20;$G$20))))</v>
      </c>
    </row>
    <row r="56" spans="1:9" ht="99" customHeight="1">
      <c r="G56" s="1" t="str">
        <f>[1]!relProject("1",[1]!relSelect("%2&gt;=150",[1]!relProject("2::AVG 5",[1]!relJoin("%1=%6",$D$20,$G$20))))</f>
        <v>Sony_x000D_Creative Labs_x000D_Hewlett Packard_x000D_Iomega_x000D_Fujitsu</v>
      </c>
    </row>
    <row r="57" spans="1:9">
      <c r="A57" s="2" t="s">
        <v>64</v>
      </c>
      <c r="G57" s="2" t="str">
        <f>"=relProject(""3::4"";relJoin(""%1=%4"";relProject(""MIN 3"";$G$20);$G$20))"</f>
        <v>=relProject("3::4";relJoin("%1=%4";relProject("MIN 3";$G$20);$G$20))</v>
      </c>
    </row>
    <row r="58" spans="1:9" ht="21" customHeight="1">
      <c r="G58" s="1" t="str">
        <f>[1]!relProject("3::4",[1]!relJoin("%1=%4",[1]!relProject("MIN 3",$G$20),$G$20))</f>
        <v>Floppy disk::5</v>
      </c>
      <c r="H58" s="3">
        <v>5</v>
      </c>
    </row>
    <row r="59" spans="1:9">
      <c r="A59" s="2" t="s">
        <v>65</v>
      </c>
      <c r="G59" s="2" t="str">
        <f>"=relProject(""3::4::5::1::2"";relJoin(""%1=%6"";$D$20;$G$20))"</f>
        <v>=relProject("3::4::5::1::2";relJoin("%1=%6";$D$20;$G$20))</v>
      </c>
      <c r="H59" s="2" t="str">
        <f>"=relProject(""4::MAX 3"";G60)"</f>
        <v>=relProject("4::MAX 3";G60)</v>
      </c>
      <c r="I59" s="2" t="str">
        <f>"=relProject(""5::2::3"";relJoin(""AND(%4=%6,%3=%7)"";G60;H60))"</f>
        <v>=relProject("5::2::3";relJoin("AND(%4=%6,%3=%7)";G60;H60))</v>
      </c>
    </row>
    <row r="60" spans="1:9" ht="155" customHeight="1">
      <c r="G60" s="1" t="str">
        <f>[1]!relProject("3::4::5::1::2",[1]!relJoin("%1=%6",$D$20,$G$20))</f>
        <v>5::Monitor::240::1::Sony_x000D_6::DVD drive::180::2::Creative Labs_x000D_7::CD drive::90::2::Creative Labs_x000D_10::DVD burner::180::2::Creative Labs_x000D_8::Printer::270::3::Hewlett Packard_x000D_9::Toner cartridge::66::3::Hewlett Packard_x000D_3::ZIP drive::150::4::Iomega_x000D_1::Hard drive::240::5::Fujitsu_x000D_2::Memory::120::6::Winchester_x000D_4::Floppy disk::5::6::Winchester</v>
      </c>
      <c r="H60" s="1" t="str">
        <f>[1]!relProject("4::MAX 3",G60)</f>
        <v>1::240_x000D_2::180_x000D_3::270_x000D_4::150_x000D_5::240_x000D_6::120</v>
      </c>
      <c r="I60" s="1" t="str">
        <f>[1]!relProject("5::2::3",[1]!relJoin("AND(%4=%6,%3=%7)",G60,H60))</f>
        <v>Sony::Monitor::240_x000D_Creative Labs::DVD drive::180_x000D_Creative Labs::DVD burner::180_x000D_Hewlett Packard::Printer::270_x000D_Iomega::ZIP drive::150_x000D_Fujitsu::Hard drive::240_x000D_Winchester::Memory::120</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J50"/>
  <sheetViews>
    <sheetView showRuler="0" workbookViewId="0">
      <selection activeCell="A21" sqref="A21"/>
    </sheetView>
  </sheetViews>
  <sheetFormatPr baseColWidth="10" defaultRowHeight="15" x14ac:dyDescent="0"/>
  <cols>
    <col min="4" max="4" width="33.5" customWidth="1"/>
    <col min="5" max="5" width="11.1640625" customWidth="1"/>
    <col min="8" max="8" width="54.6640625" customWidth="1"/>
  </cols>
  <sheetData>
    <row r="1" spans="1:10">
      <c r="A1" s="13" t="s">
        <v>49</v>
      </c>
      <c r="B1" s="13"/>
      <c r="C1" s="11"/>
      <c r="D1" s="11"/>
      <c r="E1" s="11"/>
      <c r="F1" s="11"/>
      <c r="G1" s="11"/>
      <c r="H1" s="11"/>
      <c r="I1" s="11"/>
      <c r="J1" s="11"/>
    </row>
    <row r="2" spans="1:10">
      <c r="A2" s="11"/>
      <c r="B2" s="11"/>
      <c r="C2" s="11"/>
      <c r="D2" s="11"/>
      <c r="E2" s="11"/>
      <c r="F2" s="11"/>
      <c r="G2" s="11"/>
      <c r="H2" s="11"/>
      <c r="I2" s="11"/>
      <c r="J2" s="11"/>
    </row>
    <row r="3" spans="1:10">
      <c r="A3" s="11" t="s">
        <v>223</v>
      </c>
      <c r="B3" s="11"/>
      <c r="C3" s="11"/>
      <c r="D3" s="11"/>
      <c r="E3" s="11"/>
      <c r="F3" s="11"/>
      <c r="G3" s="11"/>
      <c r="H3" s="11"/>
      <c r="I3" s="11"/>
      <c r="J3" s="11"/>
    </row>
    <row r="4" spans="1:10">
      <c r="A4" s="11"/>
      <c r="B4" s="11"/>
      <c r="C4" s="11"/>
      <c r="D4" s="11"/>
      <c r="E4" s="11"/>
      <c r="F4" s="11"/>
      <c r="G4" s="11"/>
      <c r="H4" s="11"/>
      <c r="I4" s="11"/>
      <c r="J4" s="11"/>
    </row>
    <row r="5" spans="1:10">
      <c r="A5" s="11"/>
      <c r="B5" s="11"/>
      <c r="C5" s="11"/>
      <c r="D5" s="11"/>
      <c r="E5" s="11"/>
      <c r="F5" s="11"/>
      <c r="G5" s="11"/>
      <c r="H5" s="11"/>
      <c r="I5" s="11"/>
      <c r="J5" s="11"/>
    </row>
    <row r="6" spans="1:10">
      <c r="A6" s="13" t="s">
        <v>24</v>
      </c>
      <c r="B6" s="11"/>
      <c r="C6" s="13" t="s">
        <v>224</v>
      </c>
      <c r="D6" s="13"/>
      <c r="F6" s="11"/>
      <c r="G6" s="13" t="s">
        <v>225</v>
      </c>
      <c r="H6" s="13"/>
      <c r="I6" s="11"/>
      <c r="J6" s="11"/>
    </row>
    <row r="7" spans="1:10">
      <c r="C7" t="s">
        <v>0</v>
      </c>
      <c r="D7" t="s">
        <v>1</v>
      </c>
      <c r="E7" t="s">
        <v>251</v>
      </c>
      <c r="G7" t="s">
        <v>226</v>
      </c>
      <c r="H7" t="s">
        <v>1</v>
      </c>
      <c r="I7" t="s">
        <v>227</v>
      </c>
      <c r="J7" t="s">
        <v>228</v>
      </c>
    </row>
    <row r="8" spans="1:10">
      <c r="C8">
        <v>14</v>
      </c>
      <c r="D8" t="s">
        <v>252</v>
      </c>
      <c r="E8">
        <v>65000</v>
      </c>
      <c r="G8">
        <v>123234877</v>
      </c>
      <c r="H8" t="s">
        <v>229</v>
      </c>
      <c r="I8" t="s">
        <v>230</v>
      </c>
      <c r="J8">
        <v>14</v>
      </c>
    </row>
    <row r="9" spans="1:10">
      <c r="C9">
        <v>37</v>
      </c>
      <c r="D9" t="s">
        <v>253</v>
      </c>
      <c r="E9">
        <v>15000</v>
      </c>
      <c r="G9">
        <v>152934485</v>
      </c>
      <c r="H9" t="s">
        <v>231</v>
      </c>
      <c r="I9" t="s">
        <v>232</v>
      </c>
      <c r="J9">
        <v>14</v>
      </c>
    </row>
    <row r="10" spans="1:10">
      <c r="C10">
        <v>59</v>
      </c>
      <c r="D10" t="s">
        <v>254</v>
      </c>
      <c r="E10">
        <v>240000</v>
      </c>
      <c r="G10">
        <v>222364883</v>
      </c>
      <c r="H10" t="s">
        <v>233</v>
      </c>
      <c r="I10" t="s">
        <v>234</v>
      </c>
      <c r="J10">
        <v>37</v>
      </c>
    </row>
    <row r="11" spans="1:10">
      <c r="C11">
        <v>77</v>
      </c>
      <c r="D11" t="s">
        <v>255</v>
      </c>
      <c r="E11">
        <v>55000</v>
      </c>
      <c r="G11">
        <v>326587417</v>
      </c>
      <c r="H11" t="s">
        <v>235</v>
      </c>
      <c r="I11" t="s">
        <v>236</v>
      </c>
      <c r="J11">
        <v>37</v>
      </c>
    </row>
    <row r="12" spans="1:10">
      <c r="G12">
        <v>332154719</v>
      </c>
      <c r="H12" t="s">
        <v>237</v>
      </c>
      <c r="I12" t="s">
        <v>238</v>
      </c>
      <c r="J12">
        <v>14</v>
      </c>
    </row>
    <row r="13" spans="1:10">
      <c r="G13">
        <v>332569843</v>
      </c>
      <c r="H13" t="s">
        <v>239</v>
      </c>
      <c r="I13" t="s">
        <v>240</v>
      </c>
      <c r="J13">
        <v>77</v>
      </c>
    </row>
    <row r="14" spans="1:10">
      <c r="G14">
        <v>546523478</v>
      </c>
      <c r="H14" t="s">
        <v>241</v>
      </c>
      <c r="I14" t="s">
        <v>242</v>
      </c>
      <c r="J14">
        <v>59</v>
      </c>
    </row>
    <row r="15" spans="1:10">
      <c r="G15">
        <v>631231482</v>
      </c>
      <c r="H15" t="s">
        <v>243</v>
      </c>
      <c r="I15" t="s">
        <v>234</v>
      </c>
      <c r="J15">
        <v>77</v>
      </c>
    </row>
    <row r="16" spans="1:10">
      <c r="G16">
        <v>654873219</v>
      </c>
      <c r="H16" t="s">
        <v>244</v>
      </c>
      <c r="I16" t="s">
        <v>245</v>
      </c>
      <c r="J16">
        <v>59</v>
      </c>
    </row>
    <row r="17" spans="1:10">
      <c r="G17">
        <v>745685214</v>
      </c>
      <c r="H17" t="s">
        <v>246</v>
      </c>
      <c r="I17" t="s">
        <v>247</v>
      </c>
      <c r="J17">
        <v>59</v>
      </c>
    </row>
    <row r="18" spans="1:10">
      <c r="G18">
        <v>845657245</v>
      </c>
      <c r="H18" t="s">
        <v>248</v>
      </c>
      <c r="I18" t="s">
        <v>242</v>
      </c>
      <c r="J18">
        <v>14</v>
      </c>
    </row>
    <row r="19" spans="1:10">
      <c r="G19">
        <v>845657246</v>
      </c>
      <c r="H19" t="s">
        <v>249</v>
      </c>
      <c r="I19" t="s">
        <v>250</v>
      </c>
      <c r="J19">
        <v>14</v>
      </c>
    </row>
    <row r="21" spans="1:10">
      <c r="A21" s="2" t="s">
        <v>29</v>
      </c>
      <c r="D21" s="2" t="s">
        <v>265</v>
      </c>
      <c r="H21" s="2" t="s">
        <v>264</v>
      </c>
      <c r="J21" s="2"/>
    </row>
    <row r="22" spans="1:10" ht="189" customHeight="1">
      <c r="D22" s="1" t="str">
        <f>[1]!relRange(C8:E11)</f>
        <v>14::IT::65000_x000D_37::Accounting::15000_x000D_59::Human Resources::240000_x000D_77::Research::55000</v>
      </c>
      <c r="H22" s="1" t="str">
        <f>[1]!relRange(G8:J19)</f>
        <v>123234877::Michael::Rogers::14_x000D_152934485::Anand::Manikutty::14_x000D_222364883::Carol::Smith::37_x000D_326587417::Joe::Stevens::37_x000D_332154719::Mary-Anne::Foster::14_x000D_332569843::George::ODonnell::77_x000D_546523478::John::Doe::59_x000D_631231482::David::Smith::77_x000D_654873219::Zacary::Efron::59_x000D_745685214::Eric::Goldsmith::59_x000D_845657245::Elizabeth::Doe::14_x000D_845657246::Kumar::Swamy::14</v>
      </c>
    </row>
    <row r="23" spans="1:10">
      <c r="A23" s="2" t="s">
        <v>256</v>
      </c>
      <c r="H23" s="2" t="s">
        <v>263</v>
      </c>
    </row>
    <row r="24" spans="1:10" ht="184" customHeight="1">
      <c r="H24" s="15" t="str">
        <f>[1]!relProject("3",$H$22)</f>
        <v>Rogers_x000D_Manikutty_x000D_Stevens_x000D_Foster_x000D_ODonnell_x000D_Smith_x000D_Efron_x000D_Goldsmith_x000D_Doe_x000D_Swamy</v>
      </c>
    </row>
    <row r="25" spans="1:10">
      <c r="A25" s="2" t="s">
        <v>257</v>
      </c>
      <c r="H25" s="2" t="s">
        <v>262</v>
      </c>
    </row>
    <row r="26" spans="1:10" ht="67" customHeight="1">
      <c r="H26" s="1" t="str">
        <f>[1]!relSelect("OR($3=""Smith"",$3=""Doe"")",$H$22)</f>
        <v>222364883::Carol::Smith::37_x000D_546523478::John::Doe::59_x000D_631231482::David::Smith::77_x000D_845657245::Elizabeth::Doe::14</v>
      </c>
    </row>
    <row r="28" spans="1:10">
      <c r="A28" s="2" t="s">
        <v>258</v>
      </c>
      <c r="H28" s="2" t="s">
        <v>266</v>
      </c>
    </row>
    <row r="29" spans="1:10" ht="78" customHeight="1">
      <c r="H29" s="1" t="str">
        <f>[1]!relSelect("%4=14",$H$22)</f>
        <v>123234877::Michael::Rogers::14_x000D_152934485::Anand::Manikutty::14_x000D_332154719::Mary-Anne::Foster::14_x000D_845657245::Elizabeth::Doe::14_x000D_845657246::Kumar::Swamy::14</v>
      </c>
    </row>
    <row r="30" spans="1:10">
      <c r="A30" s="2" t="s">
        <v>259</v>
      </c>
      <c r="H30" s="2" t="s">
        <v>267</v>
      </c>
    </row>
    <row r="31" spans="1:10" ht="74" customHeight="1">
      <c r="H31" s="1" t="str">
        <f>[1]!relSelect("OR(%4=37,%4=77)",$H$22)</f>
        <v>222364883::Carol::Smith::37_x000D_326587417::Joe::Stevens::37_x000D_332569843::George::ODonnell::77_x000D_631231482::David::Smith::77</v>
      </c>
    </row>
    <row r="32" spans="1:10">
      <c r="A32" s="2" t="s">
        <v>260</v>
      </c>
      <c r="H32" s="2" t="s">
        <v>268</v>
      </c>
    </row>
    <row r="33" spans="1:8" ht="60">
      <c r="H33" s="1" t="str">
        <f>[1]!relSelect("LEFT($3,1)=""S""",$H$22)</f>
        <v>222364883::Carol::Smith::37_x000D_326587417::Joe::Stevens::37_x000D_631231482::David::Smith::77_x000D_845657246::Kumar::Swamy::14</v>
      </c>
    </row>
    <row r="34" spans="1:8">
      <c r="A34" s="2" t="s">
        <v>261</v>
      </c>
      <c r="H34" s="2" t="s">
        <v>269</v>
      </c>
    </row>
    <row r="35" spans="1:8">
      <c r="H35" t="str">
        <f>[1]!relProject("SUM 3",$D$22)</f>
        <v>375000</v>
      </c>
    </row>
    <row r="36" spans="1:8">
      <c r="A36" s="2" t="s">
        <v>270</v>
      </c>
    </row>
    <row r="37" spans="1:8">
      <c r="H37" s="2" t="s">
        <v>271</v>
      </c>
    </row>
    <row r="38" spans="1:8" ht="60">
      <c r="H38" s="14" t="str">
        <f>[1]!relProject("4::COUNT 1",$H$22)</f>
        <v>37::2_x000D_77::2_x000D_59::3_x000D_14::5</v>
      </c>
    </row>
    <row r="39" spans="1:8">
      <c r="A39" s="2" t="s">
        <v>272</v>
      </c>
    </row>
    <row r="40" spans="1:8" ht="180">
      <c r="H40" s="14" t="str">
        <f>[1]!relProject("1::2::3::4::6::7",[1]!relJoin("%4=%5",$H$22,$D$22))</f>
        <v>123234877::Michael::Rogers::14::IT::65000_x000D_152934485::Anand::Manikutty::14::IT::65000_x000D_222364883::Carol::Smith::37::Accounting::15000_x000D_326587417::Joe::Stevens::37::Accounting::15000_x000D_332154719::Mary-Anne::Foster::14::IT::65000_x000D_332569843::George::ODonnell::77::Research::55000_x000D_546523478::John::Doe::59::Human Resources::240000_x000D_631231482::David::Smith::77::Research::55000_x000D_654873219::Zacary::Efron::59::Human Resources::240000_x000D_745685214::Eric::Goldsmith::59::Human Resources::240000_x000D_845657245::Elizabeth::Doe::14::IT::65000_x000D_845657246::Kumar::Swamy::14::IT::65000</v>
      </c>
    </row>
    <row r="41" spans="1:8">
      <c r="A41" s="2" t="s">
        <v>273</v>
      </c>
      <c r="H41" s="2" t="s">
        <v>274</v>
      </c>
    </row>
    <row r="42" spans="1:8" ht="180">
      <c r="H42" s="14" t="str">
        <f>[1]!relProject("2::3::5::6",H40)</f>
        <v>Michael::Rogers::IT::65000_x000D_Anand::Manikutty::IT::65000_x000D_Carol::Smith::Accounting::15000_x000D_Joe::Stevens::Accounting::15000_x000D_Mary-Anne::Foster::IT::65000_x000D_George::ODonnell::Research::55000_x000D_John::Doe::Human Resources::240000_x000D_David::Smith::Research::55000_x000D_Zacary::Efron::Human Resources::240000_x000D_Eric::Goldsmith::Human Resources::240000_x000D_Elizabeth::Doe::IT::65000_x000D_Kumar::Swamy::IT::65000</v>
      </c>
    </row>
    <row r="43" spans="1:8">
      <c r="A43" s="2" t="s">
        <v>275</v>
      </c>
      <c r="H43" s="2" t="s">
        <v>277</v>
      </c>
    </row>
    <row r="44" spans="1:8" ht="120">
      <c r="H44" s="14" t="str">
        <f>[1]!relProject("2::3",[1]!relSelect("%6&gt;60000",H40))</f>
        <v>Michael::Rogers_x000D_Anand::Manikutty_x000D_Mary-Anne::Foster_x000D_John::Doe_x000D_Zacary::Efron_x000D_Eric::Goldsmith_x000D_Elizabeth::Doe_x000D_Kumar::Swamy</v>
      </c>
    </row>
    <row r="45" spans="1:8">
      <c r="A45" s="2" t="s">
        <v>276</v>
      </c>
      <c r="H45" s="2" t="s">
        <v>278</v>
      </c>
    </row>
    <row r="46" spans="1:8" ht="21" customHeight="1">
      <c r="H46" s="14" t="str">
        <f>[1]!relProject("2",[1]!relSelect("%3&gt;%4",[1]!relJoin("true",$D$22,[1]!relProject("AVG 3",$D$22))))</f>
        <v>Human Resources</v>
      </c>
    </row>
    <row r="47" spans="1:8">
      <c r="A47" s="2" t="s">
        <v>279</v>
      </c>
      <c r="H47" s="2" t="s">
        <v>280</v>
      </c>
    </row>
    <row r="48" spans="1:8" ht="31" customHeight="1">
      <c r="H48" s="14" t="str">
        <f>[1]!relProject("2",[1]!relJoin("$1=$4",$D22,[1]!relSelect("%2&gt;2",([1]!relProject("4::COUNT 1",$H$22)))))</f>
        <v>IT_x000D_Human Resources</v>
      </c>
    </row>
    <row r="49" spans="1:8">
      <c r="A49" s="2" t="s">
        <v>281</v>
      </c>
      <c r="H49" s="2" t="s">
        <v>283</v>
      </c>
    </row>
    <row r="50" spans="1:8" ht="30">
      <c r="H50" s="14" t="str">
        <f>[1]!relProject("5::6",[1]!relJoin("%1=%7",[1]!relLimit(2,1,[1]!relOrder("3 1",$D$22)),$H$22))</f>
        <v>George::ODonnell_x000D_David::Smith</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A1:J48"/>
  <sheetViews>
    <sheetView showRuler="0" topLeftCell="A30" workbookViewId="0">
      <selection activeCell="E5" sqref="E5"/>
    </sheetView>
  </sheetViews>
  <sheetFormatPr baseColWidth="10" defaultRowHeight="15" x14ac:dyDescent="0"/>
  <cols>
    <col min="4" max="4" width="22.83203125" customWidth="1"/>
    <col min="8" max="8" width="41.83203125" customWidth="1"/>
  </cols>
  <sheetData>
    <row r="1" spans="1:10">
      <c r="A1" s="13" t="s">
        <v>49</v>
      </c>
      <c r="B1" s="13"/>
      <c r="C1" s="11"/>
      <c r="D1" s="11"/>
      <c r="E1" s="11"/>
      <c r="F1" s="11"/>
      <c r="G1" s="11"/>
      <c r="H1" s="11"/>
      <c r="I1" s="11"/>
      <c r="J1" s="11"/>
    </row>
    <row r="2" spans="1:10">
      <c r="A2" s="11"/>
      <c r="B2" s="11"/>
      <c r="C2" s="11"/>
      <c r="D2" s="11"/>
      <c r="E2" s="11"/>
      <c r="F2" s="11"/>
      <c r="G2" s="11"/>
      <c r="H2" s="11"/>
      <c r="I2" s="11"/>
      <c r="J2" s="11"/>
    </row>
    <row r="3" spans="1:10">
      <c r="A3" s="11" t="s">
        <v>284</v>
      </c>
      <c r="B3" s="11"/>
      <c r="C3" s="11"/>
      <c r="D3" s="11"/>
      <c r="E3" s="11"/>
      <c r="F3" s="11"/>
      <c r="G3" s="11"/>
      <c r="H3" s="11"/>
      <c r="I3" s="11"/>
      <c r="J3" s="11"/>
    </row>
    <row r="4" spans="1:10">
      <c r="A4" s="11"/>
      <c r="B4" s="11"/>
      <c r="C4" s="11"/>
      <c r="D4" s="11"/>
      <c r="E4" s="11"/>
      <c r="F4" s="11"/>
      <c r="G4" s="11"/>
      <c r="H4" s="11"/>
      <c r="I4" s="11"/>
      <c r="J4" s="11"/>
    </row>
    <row r="5" spans="1:10">
      <c r="A5" s="11"/>
      <c r="B5" s="11"/>
      <c r="C5" s="11"/>
      <c r="D5" s="11"/>
      <c r="E5" s="11"/>
      <c r="F5" s="11"/>
      <c r="G5" s="11"/>
      <c r="H5" s="11"/>
      <c r="I5" s="11"/>
      <c r="J5" s="11"/>
    </row>
    <row r="6" spans="1:10">
      <c r="A6" s="13" t="s">
        <v>24</v>
      </c>
      <c r="B6" s="11"/>
      <c r="C6" s="13" t="s">
        <v>285</v>
      </c>
      <c r="D6" s="13"/>
      <c r="F6" s="11"/>
      <c r="G6" s="13" t="s">
        <v>292</v>
      </c>
      <c r="H6" s="13"/>
      <c r="I6" s="11"/>
      <c r="J6" s="11"/>
    </row>
    <row r="7" spans="1:10">
      <c r="C7" t="s">
        <v>0</v>
      </c>
      <c r="D7" t="s">
        <v>286</v>
      </c>
      <c r="E7" t="s">
        <v>287</v>
      </c>
      <c r="G7" t="s">
        <v>0</v>
      </c>
      <c r="H7" t="s">
        <v>293</v>
      </c>
      <c r="I7" t="s">
        <v>294</v>
      </c>
      <c r="J7" t="s">
        <v>295</v>
      </c>
    </row>
    <row r="8" spans="1:10">
      <c r="C8">
        <v>1</v>
      </c>
      <c r="D8" t="s">
        <v>288</v>
      </c>
      <c r="E8">
        <v>3</v>
      </c>
      <c r="G8" t="s">
        <v>296</v>
      </c>
      <c r="H8" t="s">
        <v>297</v>
      </c>
      <c r="I8">
        <v>180</v>
      </c>
      <c r="J8">
        <v>3</v>
      </c>
    </row>
    <row r="9" spans="1:10">
      <c r="C9">
        <v>2</v>
      </c>
      <c r="D9" t="s">
        <v>288</v>
      </c>
      <c r="E9">
        <v>4</v>
      </c>
      <c r="G9" t="s">
        <v>298</v>
      </c>
      <c r="H9" t="s">
        <v>297</v>
      </c>
      <c r="I9">
        <v>250</v>
      </c>
      <c r="J9">
        <v>1</v>
      </c>
    </row>
    <row r="10" spans="1:10">
      <c r="C10">
        <v>3</v>
      </c>
      <c r="D10" t="s">
        <v>289</v>
      </c>
      <c r="E10">
        <v>7</v>
      </c>
      <c r="G10" t="s">
        <v>299</v>
      </c>
      <c r="H10" t="s">
        <v>300</v>
      </c>
      <c r="I10">
        <v>190</v>
      </c>
      <c r="J10">
        <v>4</v>
      </c>
    </row>
    <row r="11" spans="1:10">
      <c r="C11">
        <v>4</v>
      </c>
      <c r="D11" t="s">
        <v>290</v>
      </c>
      <c r="E11">
        <v>2</v>
      </c>
      <c r="G11" t="s">
        <v>301</v>
      </c>
      <c r="H11" t="s">
        <v>297</v>
      </c>
      <c r="I11">
        <v>200</v>
      </c>
      <c r="J11">
        <v>1</v>
      </c>
    </row>
    <row r="12" spans="1:10">
      <c r="C12">
        <v>5</v>
      </c>
      <c r="D12" t="s">
        <v>291</v>
      </c>
      <c r="E12">
        <v>8</v>
      </c>
      <c r="G12" t="s">
        <v>302</v>
      </c>
      <c r="H12" t="s">
        <v>303</v>
      </c>
      <c r="I12">
        <v>75</v>
      </c>
      <c r="J12">
        <v>1</v>
      </c>
    </row>
    <row r="13" spans="1:10">
      <c r="G13" t="s">
        <v>304</v>
      </c>
      <c r="H13" t="s">
        <v>303</v>
      </c>
      <c r="I13">
        <v>50</v>
      </c>
      <c r="J13">
        <v>3</v>
      </c>
    </row>
    <row r="14" spans="1:10">
      <c r="G14" t="s">
        <v>305</v>
      </c>
      <c r="H14" t="s">
        <v>303</v>
      </c>
      <c r="I14">
        <v>175</v>
      </c>
      <c r="J14">
        <v>2</v>
      </c>
    </row>
    <row r="15" spans="1:10">
      <c r="G15" t="s">
        <v>306</v>
      </c>
      <c r="H15" t="s">
        <v>297</v>
      </c>
      <c r="I15">
        <v>140</v>
      </c>
      <c r="J15">
        <v>4</v>
      </c>
    </row>
    <row r="16" spans="1:10">
      <c r="G16" t="s">
        <v>307</v>
      </c>
      <c r="H16" t="s">
        <v>300</v>
      </c>
      <c r="I16">
        <v>125</v>
      </c>
      <c r="J16">
        <v>1</v>
      </c>
    </row>
    <row r="17" spans="1:10">
      <c r="G17" t="s">
        <v>308</v>
      </c>
      <c r="H17" t="s">
        <v>300</v>
      </c>
      <c r="I17">
        <v>150</v>
      </c>
      <c r="J17">
        <v>2</v>
      </c>
    </row>
    <row r="19" spans="1:10">
      <c r="A19" s="13" t="s">
        <v>29</v>
      </c>
      <c r="D19" s="2" t="s">
        <v>309</v>
      </c>
      <c r="H19" s="2" t="s">
        <v>310</v>
      </c>
    </row>
    <row r="20" spans="1:10" ht="150">
      <c r="D20" s="1" t="str">
        <f>[1]!relRange(C8:E12)</f>
        <v>1::Chicago::3_x000D_2::Chicago::4_x000D_3::New York::7_x000D_4::Los Angeles::2_x000D_5::San Francisco::8</v>
      </c>
      <c r="H20" s="14" t="str">
        <f>[1]!relRange(G8:J17)</f>
        <v>0MN7::Rocks::180::3_x000D_4H8P::Rocks::250::1_x000D_4RT3::Scissors::190::4_x000D_7G3H::Rocks::200::1_x000D_8JN6::Papers::75::1_x000D_8Y6U::Papers::50::3_x000D_9J6F::Papers::175::2_x000D_LL08::Rocks::140::4_x000D_P0H6::Scissors::125::1_x000D_P2T6::Scissors::150::2</v>
      </c>
    </row>
    <row r="22" spans="1:10">
      <c r="A22" s="2" t="s">
        <v>311</v>
      </c>
      <c r="H22" s="2" t="s">
        <v>312</v>
      </c>
    </row>
    <row r="23" spans="1:10" ht="75">
      <c r="H23" s="14" t="str">
        <f>[1]!relSelect("%3&gt;150",$H$20)</f>
        <v>0MN7::Rocks::180::3_x000D_4H8P::Rocks::250::1_x000D_4RT3::Scissors::190::4_x000D_7G3H::Rocks::200::1_x000D_9J6F::Papers::175::2</v>
      </c>
    </row>
    <row r="25" spans="1:10">
      <c r="A25" s="2" t="s">
        <v>313</v>
      </c>
      <c r="H25" s="2" t="s">
        <v>314</v>
      </c>
    </row>
    <row r="26" spans="1:10" ht="45">
      <c r="H26" s="14" t="str">
        <f>[1]!relProject("2",H20)</f>
        <v>Papers_x000D_Rocks_x000D_Scissors</v>
      </c>
    </row>
    <row r="27" spans="1:10">
      <c r="A27" s="2" t="s">
        <v>315</v>
      </c>
      <c r="H27" s="2" t="s">
        <v>316</v>
      </c>
    </row>
    <row r="28" spans="1:10">
      <c r="H28" t="str">
        <f>[1]!relProject("AVG 3",$H$20)</f>
        <v>153.5</v>
      </c>
    </row>
    <row r="29" spans="1:10">
      <c r="A29" s="2" t="s">
        <v>317</v>
      </c>
      <c r="H29" s="2" t="s">
        <v>318</v>
      </c>
    </row>
    <row r="30" spans="1:10" ht="60">
      <c r="H30" s="1" t="str">
        <f>[1]!relProject("4::AVG 3",$H$20)</f>
        <v>3::115_x000D_4::165_x000D_1::162.5_x000D_2::162.5</v>
      </c>
    </row>
    <row r="31" spans="1:10">
      <c r="A31" s="2" t="s">
        <v>319</v>
      </c>
      <c r="H31" s="2" t="s">
        <v>320</v>
      </c>
    </row>
    <row r="32" spans="1:10" ht="150">
      <c r="H32" s="14" t="str">
        <f>[1]!relProject("1::6",[1]!relJoin("%4=%5",$H$20,$D$20))</f>
        <v>0MN7::New York_x000D_4H8P::Chicago_x000D_4RT3::Los Angeles_x000D_7G3H::Chicago_x000D_8JN6::Chicago_x000D_8Y6U::New York_x000D_9J6F::Chicago_x000D_LL08::Los Angeles_x000D_P0H6::Chicago_x000D_P2T6::Chicago</v>
      </c>
    </row>
    <row r="33" spans="1:8">
      <c r="A33" s="2" t="s">
        <v>321</v>
      </c>
      <c r="H33" s="2" t="s">
        <v>322</v>
      </c>
    </row>
    <row r="34" spans="1:8" ht="60">
      <c r="H34" s="1" t="str">
        <f>[1]!relProject("4::COUNT 1",[1]!relJoin("%4=%5",$H$20,$D$20))</f>
        <v>3::2_x000D_4::2_x000D_1::4_x000D_2::2</v>
      </c>
    </row>
    <row r="35" spans="1:8">
      <c r="A35" s="2" t="s">
        <v>323</v>
      </c>
    </row>
    <row r="36" spans="1:8">
      <c r="A36" s="2"/>
      <c r="H36" s="2" t="s">
        <v>324</v>
      </c>
    </row>
    <row r="37" spans="1:8" ht="75">
      <c r="H37" s="14" t="str">
        <f>[1]!relUnion([1]!relExtend("0",[1]!reldifference([1]!relProject("1",$D$20),[1]!relProject("1",H34))),H34)</f>
        <v>5::0_x000D_3::2_x000D_4::2_x000D_1::4_x000D_2::2</v>
      </c>
    </row>
    <row r="39" spans="1:8">
      <c r="A39" s="2" t="s">
        <v>325</v>
      </c>
    </row>
    <row r="40" spans="1:8">
      <c r="H40" s="2" t="s">
        <v>326</v>
      </c>
    </row>
    <row r="41" spans="1:8">
      <c r="H41" s="2" t="str">
        <f>[1]!relProject("1",[1]!relJoin("AND(%1=%3,%2&gt;%4)",[1]!relProject("4::COUNT 1",$H$20),[1]!relProject("1::3",$D$20)))</f>
        <v>1</v>
      </c>
    </row>
    <row r="42" spans="1:8">
      <c r="H42" s="16" t="s">
        <v>327</v>
      </c>
    </row>
    <row r="43" spans="1:8" ht="60">
      <c r="H43" s="14" t="str">
        <f>[1]!relProject("4::COUNT 1",$H$20)</f>
        <v>3::2_x000D_4::2_x000D_1::4_x000D_2::2</v>
      </c>
    </row>
    <row r="44" spans="1:8">
      <c r="H44" s="16" t="s">
        <v>328</v>
      </c>
    </row>
    <row r="45" spans="1:8" ht="75">
      <c r="H45" s="14" t="str">
        <f>[1]!relProject("1::3",$D$20)</f>
        <v>1::3_x000D_2::4_x000D_3::7_x000D_4::2_x000D_5::8</v>
      </c>
    </row>
    <row r="46" spans="1:8">
      <c r="H46" s="17" t="s">
        <v>329</v>
      </c>
    </row>
    <row r="47" spans="1:8" ht="20" customHeight="1">
      <c r="H47" s="14" t="str">
        <f>[1]!relProject("1",[1]!relJoin("AND(%1=%3,%2&gt;%4)",H43,H45))</f>
        <v>1</v>
      </c>
    </row>
    <row r="48" spans="1:8">
      <c r="A48" t="s">
        <v>330</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L37"/>
  <sheetViews>
    <sheetView showRuler="0" topLeftCell="E26" workbookViewId="0">
      <selection activeCell="I48" sqref="I48"/>
    </sheetView>
  </sheetViews>
  <sheetFormatPr baseColWidth="10" defaultRowHeight="15" x14ac:dyDescent="0"/>
  <cols>
    <col min="7" max="7" width="41.5" customWidth="1"/>
    <col min="8" max="8" width="53" customWidth="1"/>
    <col min="9" max="9" width="35" customWidth="1"/>
    <col min="10" max="10" width="37" customWidth="1"/>
    <col min="11" max="11" width="27.83203125" customWidth="1"/>
    <col min="12" max="12" width="31.6640625" customWidth="1"/>
  </cols>
  <sheetData>
    <row r="1" spans="1:12">
      <c r="A1" s="13" t="s">
        <v>49</v>
      </c>
      <c r="B1" s="13"/>
      <c r="C1" s="11"/>
      <c r="D1" s="11"/>
      <c r="E1" s="11"/>
      <c r="F1" s="11"/>
      <c r="G1" s="11"/>
      <c r="H1" s="11"/>
      <c r="I1" s="11"/>
      <c r="J1" s="11"/>
    </row>
    <row r="2" spans="1:12">
      <c r="A2" s="11"/>
      <c r="B2" s="11"/>
      <c r="C2" s="11"/>
      <c r="D2" s="11"/>
      <c r="E2" s="11"/>
      <c r="F2" s="11"/>
      <c r="G2" s="11"/>
      <c r="H2" s="11"/>
      <c r="I2" s="11"/>
      <c r="J2" s="11"/>
    </row>
    <row r="3" spans="1:12">
      <c r="A3" s="11" t="s">
        <v>331</v>
      </c>
      <c r="B3" s="11"/>
      <c r="C3" s="11"/>
      <c r="D3" s="11"/>
      <c r="E3" s="11"/>
      <c r="F3" s="11"/>
      <c r="G3" s="11"/>
      <c r="H3" s="11"/>
      <c r="I3" s="11"/>
      <c r="J3" s="11"/>
    </row>
    <row r="4" spans="1:12">
      <c r="A4" s="11"/>
      <c r="B4" s="11"/>
      <c r="C4" s="11"/>
      <c r="D4" s="11"/>
      <c r="E4" s="11"/>
      <c r="F4" s="11"/>
      <c r="G4" s="11"/>
      <c r="H4" s="11"/>
      <c r="I4" s="11"/>
      <c r="J4" s="11"/>
    </row>
    <row r="5" spans="1:12">
      <c r="A5" s="11"/>
      <c r="B5" s="11"/>
      <c r="C5" s="11"/>
      <c r="D5" s="11"/>
      <c r="E5" s="11"/>
      <c r="F5" s="11"/>
      <c r="G5" s="11"/>
      <c r="H5" s="11"/>
      <c r="I5" s="11"/>
      <c r="J5" s="11"/>
    </row>
    <row r="6" spans="1:12">
      <c r="A6" s="13" t="s">
        <v>24</v>
      </c>
      <c r="B6" s="11"/>
      <c r="C6" s="13" t="s">
        <v>332</v>
      </c>
      <c r="D6" s="13"/>
      <c r="F6" s="11"/>
      <c r="G6" s="13" t="s">
        <v>337</v>
      </c>
      <c r="H6" s="13"/>
      <c r="I6" s="11"/>
      <c r="J6" s="11"/>
      <c r="K6" s="2" t="s">
        <v>343</v>
      </c>
    </row>
    <row r="7" spans="1:12">
      <c r="C7" t="s">
        <v>0</v>
      </c>
      <c r="D7" t="s">
        <v>1</v>
      </c>
      <c r="G7" t="s">
        <v>338</v>
      </c>
      <c r="H7" t="s">
        <v>339</v>
      </c>
      <c r="I7" t="s">
        <v>7</v>
      </c>
      <c r="K7" t="s">
        <v>0</v>
      </c>
      <c r="L7" t="s">
        <v>1</v>
      </c>
    </row>
    <row r="8" spans="1:12">
      <c r="C8">
        <v>1</v>
      </c>
      <c r="D8" t="s">
        <v>333</v>
      </c>
      <c r="G8">
        <v>1</v>
      </c>
      <c r="H8" t="s">
        <v>340</v>
      </c>
      <c r="I8">
        <v>10</v>
      </c>
      <c r="K8" t="s">
        <v>340</v>
      </c>
      <c r="L8" t="s">
        <v>344</v>
      </c>
    </row>
    <row r="9" spans="1:12">
      <c r="C9">
        <v>2</v>
      </c>
      <c r="D9" t="s">
        <v>334</v>
      </c>
      <c r="G9">
        <v>1</v>
      </c>
      <c r="H9" t="s">
        <v>341</v>
      </c>
      <c r="I9">
        <v>15</v>
      </c>
      <c r="K9" t="s">
        <v>341</v>
      </c>
      <c r="L9" t="s">
        <v>345</v>
      </c>
    </row>
    <row r="10" spans="1:12">
      <c r="C10">
        <v>3</v>
      </c>
      <c r="D10" t="s">
        <v>335</v>
      </c>
      <c r="G10">
        <v>2</v>
      </c>
      <c r="H10" t="s">
        <v>340</v>
      </c>
      <c r="I10">
        <v>20</v>
      </c>
      <c r="K10" t="s">
        <v>342</v>
      </c>
      <c r="L10" t="s">
        <v>346</v>
      </c>
    </row>
    <row r="11" spans="1:12">
      <c r="C11">
        <v>4</v>
      </c>
      <c r="D11" t="s">
        <v>336</v>
      </c>
      <c r="G11">
        <v>2</v>
      </c>
      <c r="H11" t="s">
        <v>341</v>
      </c>
      <c r="I11">
        <v>15</v>
      </c>
    </row>
    <row r="12" spans="1:12">
      <c r="G12">
        <v>2</v>
      </c>
      <c r="H12" t="s">
        <v>342</v>
      </c>
      <c r="I12">
        <v>14</v>
      </c>
    </row>
    <row r="13" spans="1:12">
      <c r="G13">
        <v>3</v>
      </c>
      <c r="H13" t="s">
        <v>341</v>
      </c>
      <c r="I13">
        <v>50</v>
      </c>
    </row>
    <row r="14" spans="1:12">
      <c r="G14">
        <v>3</v>
      </c>
      <c r="H14" t="s">
        <v>342</v>
      </c>
      <c r="I14">
        <v>45</v>
      </c>
    </row>
    <row r="15" spans="1:12">
      <c r="G15">
        <v>4</v>
      </c>
      <c r="H15" t="s">
        <v>340</v>
      </c>
      <c r="I15">
        <v>5</v>
      </c>
    </row>
    <row r="16" spans="1:12">
      <c r="G16">
        <v>4</v>
      </c>
      <c r="H16" t="s">
        <v>341</v>
      </c>
      <c r="I16">
        <v>7</v>
      </c>
    </row>
    <row r="19" spans="1:12">
      <c r="A19" s="2" t="s">
        <v>29</v>
      </c>
      <c r="D19" s="2" t="s">
        <v>347</v>
      </c>
      <c r="H19" s="2" t="s">
        <v>348</v>
      </c>
      <c r="L19" s="2" t="s">
        <v>349</v>
      </c>
    </row>
    <row r="20" spans="1:12" ht="135">
      <c r="D20" s="1" t="str">
        <f>[1]!relRange(C8:D11)</f>
        <v>1::Sprocket_x000D_2::Screw_x000D_3::Nut_x000D_4::Bolt</v>
      </c>
      <c r="H20" s="14" t="str">
        <f>[1]!relRange(G8:I16)</f>
        <v>1::HAL::10_x000D_1::RBT::15_x000D_2::HAL::20_x000D_2::RBT::15_x000D_2::TNBC::14_x000D_3::RBT::50_x000D_3::TNBC::45_x000D_4::HAL::5_x000D_4::RBT::7</v>
      </c>
      <c r="L20" s="1" t="str">
        <f>[1]!relRange(K8:L10)</f>
        <v>HAL::Clarke Entreprises_x000D_RBT::Susan Calvin Corp._x000D_TNBC::Skellington Supplies</v>
      </c>
    </row>
    <row r="21" spans="1:12">
      <c r="D21" s="1"/>
      <c r="H21" s="14"/>
      <c r="L21" s="1"/>
    </row>
    <row r="22" spans="1:12">
      <c r="H22" s="14"/>
    </row>
    <row r="23" spans="1:12">
      <c r="A23" s="2" t="s">
        <v>350</v>
      </c>
      <c r="H23" s="2" t="s">
        <v>351</v>
      </c>
    </row>
    <row r="24" spans="1:12" ht="60">
      <c r="H24" s="14" t="str">
        <f>[1]!relProject("2",$D$20)</f>
        <v>Sprocket_x000D_Screw_x000D_Nut_x000D_Bolt</v>
      </c>
    </row>
    <row r="26" spans="1:12">
      <c r="A26" s="2" t="s">
        <v>352</v>
      </c>
      <c r="H26" s="2" t="s">
        <v>353</v>
      </c>
    </row>
    <row r="27" spans="1:12" ht="60">
      <c r="H27" s="14" t="str">
        <f>[1]!relProject("1::AVG 3",$H$20)</f>
        <v>1::12.5_x000D_2::16.3333333333333_x000D_3::47.5_x000D_4::6</v>
      </c>
    </row>
    <row r="29" spans="1:12">
      <c r="A29" s="2" t="s">
        <v>354</v>
      </c>
      <c r="H29" s="16" t="s">
        <v>357</v>
      </c>
      <c r="I29" s="16" t="s">
        <v>358</v>
      </c>
      <c r="J29" s="16" t="s">
        <v>355</v>
      </c>
    </row>
    <row r="30" spans="1:12" ht="30">
      <c r="H30" s="14" t="str">
        <f>[1]!relProject("2",I30)</f>
        <v>Clarke Entreprises_x000D_Susan Calvin Corp.</v>
      </c>
      <c r="I30" s="14" t="str">
        <f>[1]!relJoin("$1=$4",$L$20,J30)</f>
        <v>HAL::Clarke Entreprises::1::HAL::10_x000D_RBT::Susan Calvin Corp.::1::RBT::15</v>
      </c>
      <c r="J30" s="14" t="str">
        <f>[1]!relSelect("%1=1",$H$20)</f>
        <v>1::HAL::10_x000D_1::RBT::15</v>
      </c>
    </row>
    <row r="31" spans="1:12">
      <c r="H31" s="14"/>
      <c r="I31" s="14"/>
      <c r="J31" s="14"/>
    </row>
    <row r="32" spans="1:12">
      <c r="A32" s="2" t="s">
        <v>356</v>
      </c>
      <c r="H32" s="16" t="s">
        <v>359</v>
      </c>
      <c r="I32" s="16" t="s">
        <v>361</v>
      </c>
      <c r="J32" s="16" t="s">
        <v>360</v>
      </c>
    </row>
    <row r="33" spans="1:11" ht="45">
      <c r="H33" s="14" t="str">
        <f>[1]!relProject("2",I33)</f>
        <v>Sprocket_x000D_Screw_x000D_Bolt</v>
      </c>
      <c r="I33" s="14" t="str">
        <f>[1]!relJoin("%1=%3",D20,J33)</f>
        <v>1::Sprocket::1::HAL::10_x000D_2::Screw::2::HAL::20_x000D_4::Bolt::4::HAL::5</v>
      </c>
      <c r="J33" s="14" t="str">
        <f>[1]!relSelect("$2=""HAL""",H20)</f>
        <v>1::HAL::10_x000D_2::HAL::20_x000D_4::HAL::5</v>
      </c>
    </row>
    <row r="35" spans="1:11">
      <c r="A35" s="2" t="s">
        <v>362</v>
      </c>
    </row>
    <row r="36" spans="1:11">
      <c r="G36" s="16" t="s">
        <v>363</v>
      </c>
      <c r="H36" s="16" t="s">
        <v>364</v>
      </c>
      <c r="I36" s="16" t="s">
        <v>365</v>
      </c>
      <c r="J36" s="16" t="s">
        <v>366</v>
      </c>
      <c r="K36" s="16" t="s">
        <v>367</v>
      </c>
    </row>
    <row r="37" spans="1:11" ht="60">
      <c r="G37" s="14" t="str">
        <f>[1]!relProject("4::2::7",H37)</f>
        <v>Screw::Clarke Entreprises::20_x000D_Sprocket::Susan Calvin Corp.::15_x000D_Nut::Susan Calvin Corp.::50_x000D_Bolt::Susan Calvin Corp.::7</v>
      </c>
      <c r="H37" s="14" t="str">
        <f>[1]!relJoin("$1=$6",$L$20,I37)</f>
        <v>HAL::Clarke Entreprises::2::Screw::2::HAL::20::2::20_x000D_RBT::Susan Calvin Corp.::1::Sprocket::1::RBT::15::1::15_x000D_RBT::Susan Calvin Corp.::3::Nut::3::RBT::50::3::50_x000D_RBT::Susan Calvin Corp.::4::Bolt::4::RBT::7::4::7</v>
      </c>
      <c r="I37" s="14" t="str">
        <f>[1]!relJoin("%1=%3",$D$20,J37)</f>
        <v>1::Sprocket::1::RBT::15::1::15_x000D_2::Screw::2::HAL::20::2::20_x000D_3::Nut::3::RBT::50::3::50_x000D_4::Bolt::4::RBT::7::4::7</v>
      </c>
      <c r="J37" s="14" t="str">
        <f>[1]!relJoin("AND(%1=%4,%3=%5)",$H20,K37)</f>
        <v>1::RBT::15::1::15_x000D_2::HAL::20::2::20_x000D_3::RBT::50::3::50_x000D_4::RBT::7::4::7</v>
      </c>
      <c r="K37" s="14" t="str">
        <f>[1]!relProject("1::MAX 3",$H$20)</f>
        <v>1::15_x000D_2::20_x000D_3::50_x000D_4::7</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J57"/>
  <sheetViews>
    <sheetView showRuler="0" workbookViewId="0">
      <selection activeCell="J5" sqref="J5"/>
    </sheetView>
  </sheetViews>
  <sheetFormatPr baseColWidth="10" defaultRowHeight="15" x14ac:dyDescent="0"/>
  <cols>
    <col min="2" max="2" width="23.6640625" customWidth="1"/>
    <col min="3" max="3" width="6" customWidth="1"/>
    <col min="4" max="4" width="7" customWidth="1"/>
    <col min="6" max="6" width="2.33203125" customWidth="1"/>
    <col min="9" max="9" width="80.5" customWidth="1"/>
    <col min="10" max="10" width="38.83203125" customWidth="1"/>
  </cols>
  <sheetData>
    <row r="1" spans="1:10">
      <c r="A1" s="2" t="s">
        <v>368</v>
      </c>
    </row>
    <row r="2" spans="1:10">
      <c r="A2" s="2" t="s">
        <v>369</v>
      </c>
      <c r="G2" s="2" t="s">
        <v>374</v>
      </c>
      <c r="I2" s="2" t="s">
        <v>390</v>
      </c>
      <c r="J2" s="2" t="s">
        <v>391</v>
      </c>
    </row>
    <row r="3" spans="1:10" ht="89" customHeight="1">
      <c r="A3" s="2"/>
      <c r="G3" s="2"/>
      <c r="I3" s="20" t="str">
        <f>[1]!relUnion([1]!relUnion([1]!relUnion(I12,I13),I20),I22)</f>
        <v>1100::Caisse::1953:: _x000D_1200::CCP::4100.5:: _x000D_2800::Capital:: ::6425.5_x000D_::PROFIT:: ::--372.00_x000D_::TOTAL::6053.5::6425.5</v>
      </c>
      <c r="J3" s="20" t="str">
        <f>[1]!relUnion([1]!relUnion([1]!relUnion(I14,I15),I21),I23)</f>
        <v>3100::Achats::600:: _x000D_3800::Salaires::1500:: _x000D_4000::Vente:: ::1728_x000D_::PROFIT::--372.00::_x000D_::TOTAL::1728::1728</v>
      </c>
    </row>
    <row r="4" spans="1:10" ht="16" customHeight="1">
      <c r="A4" s="2"/>
      <c r="G4" s="2"/>
      <c r="I4" s="20"/>
      <c r="J4" s="20"/>
    </row>
    <row r="5" spans="1:10" ht="16" customHeight="1">
      <c r="A5" s="2"/>
      <c r="G5" s="2"/>
      <c r="I5" s="23" t="s">
        <v>415</v>
      </c>
      <c r="J5" s="20"/>
    </row>
    <row r="6" spans="1:10" ht="16" customHeight="1">
      <c r="A6" s="2"/>
      <c r="G6" s="2"/>
      <c r="I6" s="19" t="str">
        <f>[1]!relRange(A25:E107)</f>
        <v>01.01.2016::OUVERTURE CAISSE::1100::9000::225_x000D_01.01.2016::OUVERTURE CCP::1200::9000::6200.5_x000D_01.01.2016::OUVERTURE Capital::9000::2800::6425.5_x000D_06.01.2016::Vente livres::1100::4000::249_x000D_07.01.2016::Achat livres::3100::1200::480_x000D_15.01.2016::Vente livres::1100::4000::78_x000D_20.01.2016::Vente livres::1100::4000::145_x000D_25.01.2016::Salaire::3800::1200::750_x000D_25.01.2016::Achat livres::3100::1200::120_x000D_26.01.2016::Vente livres::1100::4000::22_x000D_02.02.2016::Vente livres::1100::4000::80_x000D_04.01.2016::Vente livres::1100::4000::245_x000D_11.02.2016::Vente livres::1100::4000::320_x000D_16.02.2016::Vente livres::1100::4000::110_x000D_25.02.2016::Salaire::3800::1200::750_x000D_27.02.2016::Vente livres::1100::4000::290_x000D_28.02.2016::Vente livres::1100::4000::189_x000D_::::::::</v>
      </c>
      <c r="J6" s="9" t="s">
        <v>398</v>
      </c>
    </row>
    <row r="7" spans="1:10" ht="16" customHeight="1">
      <c r="A7" s="2"/>
      <c r="G7" s="2"/>
      <c r="I7" s="14" t="str">
        <f>[1]!relExtend("-%5",I6)</f>
        <v>01.01.2016::OUVERTURE CAISSE::1100::9000::225::-225_x000D_01.01.2016::OUVERTURE CCP::1200::9000::6200.5::-6200.5_x000D_01.01.2016::OUVERTURE Capital::9000::2800::6425.5::-6425.5_x000D_06.01.2016::Vente livres::1100::4000::249::-249_x000D_07.01.2016::Achat livres::3100::1200::480::-480_x000D_15.01.2016::Vente livres::1100::4000::78::-78_x000D_20.01.2016::Vente livres::1100::4000::145::-145_x000D_25.01.2016::Salaire::3800::1200::750::-750_x000D_25.01.2016::Achat livres::3100::1200::120::-120_x000D_26.01.2016::Vente livres::1100::4000::22::-22_x000D_02.02.2016::Vente livres::1100::4000::80::-80_x000D_04.01.2016::Vente livres::1100::4000::245::-245_x000D_11.02.2016::Vente livres::1100::4000::320::-320_x000D_16.02.2016::Vente livres::1100::4000::110::-110_x000D_25.02.2016::Salaire::3800::1200::750::-750_x000D_27.02.2016::Vente livres::1100::4000::290::-290_x000D_28.02.2016::Vente livres::1100::4000::189::-189_x000D_::::::::::0</v>
      </c>
      <c r="J7" s="9" t="s">
        <v>399</v>
      </c>
    </row>
    <row r="8" spans="1:10">
      <c r="A8" s="2"/>
      <c r="G8" s="2"/>
      <c r="I8" s="19" t="str">
        <f>[1]!relProject("1::2::3::5",I7)</f>
        <v>01.01.2016::OUVERTURE CAISSE::1100::225_x000D_01.01.2016::OUVERTURE CCP::1200::6200.5_x000D_01.01.2016::OUVERTURE Capital::9000::6425.5_x000D_06.01.2016::Vente livres::1100::249_x000D_07.01.2016::Achat livres::3100::480_x000D_15.01.2016::Vente livres::1100::78_x000D_20.01.2016::Vente livres::1100::145_x000D_25.01.2016::Salaire::3800::750_x000D_25.01.2016::Achat livres::3100::120_x000D_26.01.2016::Vente livres::1100::22_x000D_02.02.2016::Vente livres::1100::80_x000D_04.01.2016::Vente livres::1100::245_x000D_11.02.2016::Vente livres::1100::320_x000D_16.02.2016::Vente livres::1100::110_x000D_25.02.2016::Salaire::3800::750_x000D_27.02.2016::Vente livres::1100::290_x000D_28.02.2016::Vente livres::1100::189_x000D_::::::</v>
      </c>
      <c r="J8" s="9" t="s">
        <v>400</v>
      </c>
    </row>
    <row r="9" spans="1:10">
      <c r="A9" s="2"/>
      <c r="G9" s="2"/>
      <c r="I9" s="19" t="str">
        <f>[1]!relProject("1::2::4::6",I7)</f>
        <v>01.01.2016::OUVERTURE CAISSE::9000::-225_x000D_01.01.2016::OUVERTURE CCP::9000::-6200.5_x000D_01.01.2016::OUVERTURE Capital::2800::-6425.5_x000D_06.01.2016::Vente livres::4000::-249_x000D_07.01.2016::Achat livres::1200::-480_x000D_15.01.2016::Vente livres::4000::-78_x000D_20.01.2016::Vente livres::4000::-145_x000D_25.01.2016::Salaire::1200::-750_x000D_25.01.2016::Achat livres::1200::-120_x000D_26.01.2016::Vente livres::4000::-22_x000D_02.02.2016::Vente livres::4000::-80_x000D_04.01.2016::Vente livres::4000::-245_x000D_11.02.2016::Vente livres::4000::-320_x000D_16.02.2016::Vente livres::4000::-110_x000D_25.02.2016::Salaire::1200::-750_x000D_27.02.2016::Vente livres::4000::-290_x000D_28.02.2016::Vente livres::4000::-189_x000D_::::::0</v>
      </c>
      <c r="J9" s="9" t="s">
        <v>401</v>
      </c>
    </row>
    <row r="10" spans="1:10" ht="16" customHeight="1">
      <c r="A10" s="2"/>
      <c r="G10" s="2"/>
      <c r="I10" s="19" t="str">
        <f>[1]!relUnion(I8,I9)</f>
        <v>01.01.2016::OUVERTURE CAISSE::1100::225_x000D_01.01.2016::OUVERTURE CCP::1200::6200.5_x000D_01.01.2016::OUVERTURE Capital::9000::6425.5_x000D_06.01.2016::Vente livres::1100::249_x000D_07.01.2016::Achat livres::3100::480_x000D_15.01.2016::Vente livres::1100::78_x000D_20.01.2016::Vente livres::1100::145_x000D_25.01.2016::Salaire::3800::750_x000D_25.01.2016::Achat livres::3100::120_x000D_26.01.2016::Vente livres::1100::22_x000D_02.02.2016::Vente livres::1100::80_x000D_04.01.2016::Vente livres::1100::245_x000D_11.02.2016::Vente livres::1100::320_x000D_16.02.2016::Vente livres::1100::110_x000D_25.02.2016::Salaire::3800::750_x000D_27.02.2016::Vente livres::1100::290_x000D_28.02.2016::Vente livres::1100::189_x000D_::::::_x000D_01.01.2016::OUVERTURE CAISSE::9000::-225_x000D_01.01.2016::OUVERTURE CCP::9000::-6200.5_x000D_01.01.2016::OUVERTURE Capital::2800::-6425.5_x000D_06.01.2016::Vente livres::4000::-249_x000D_07.01.2016::Achat livres::1200::-480_x000D_15.01.2016::Vente livres::4000::-78_x000D_20.01.2016::Vente livres::4000::-145_x000D_25.01.2016::Salaire::1200::-750_x000D_25.01.2016::Achat livres::1200::-120_x000D_26.01.2016::Vente livres::4000::-22_x000D_02.02.2016::Vente livres::4000::-80_x000D_04.01.2016::Vente livres::4000::-245_x000D_11.02.2016::Vente livres::4000::-320_x000D_16.02.2016::Vente livres::4000::-110_x000D_25.02.2016::Salaire::1200::-750_x000D_27.02.2016::Vente livres::4000::-290_x000D_28.02.2016::Vente livres::4000::-189_x000D_::::::0</v>
      </c>
      <c r="J10" s="9" t="s">
        <v>402</v>
      </c>
    </row>
    <row r="11" spans="1:10" ht="16" customHeight="1">
      <c r="A11" s="2"/>
      <c r="G11" s="2"/>
      <c r="I11" s="10" t="str">
        <f>[1]!relProject("1::2::4::5",[1]!relJoin("%1=%3",[1]!relRange(G25:H32),[1]!relExtend(""" """,[1]!relSelect("$1&lt;&gt;""""",[1]!relProject("3::SUM 4",I10)))))</f>
        <v xml:space="preserve">1100::Caisse::1953:: _x000D_1200::CCP::4100.5:: _x000D_2800::Capital::-6425.5:: _x000D_3100::Achats::600:: _x000D_3800::Salaires::1500:: _x000D_4000::Vente::-1728:: _x000D_9000::Ouverture::0:: </v>
      </c>
      <c r="J11" s="9" t="s">
        <v>403</v>
      </c>
    </row>
    <row r="12" spans="1:10">
      <c r="A12" s="2"/>
      <c r="G12" s="2"/>
      <c r="I12" s="19" t="str">
        <f>[1]!relProject("1::2::3::4",[1]!relSelect("LEFT($1,1)=""1""",$I$11))</f>
        <v xml:space="preserve">1100::Caisse::1953:: _x000D_1200::CCP::4100.5:: </v>
      </c>
      <c r="J12" s="9" t="s">
        <v>404</v>
      </c>
    </row>
    <row r="13" spans="1:10">
      <c r="A13" s="2"/>
      <c r="G13" s="2"/>
      <c r="I13" s="19" t="str">
        <f>[1]!relProject("1::2::4::5",[1]!relExtend("-%3",[1]!relSelect("LEFT($1,1)=""2""",$I$11)))</f>
        <v>2800::Capital:: ::6425.5</v>
      </c>
      <c r="J13" s="9" t="s">
        <v>405</v>
      </c>
    </row>
    <row r="14" spans="1:10">
      <c r="A14" s="2"/>
      <c r="G14" s="2"/>
      <c r="I14" s="19" t="str">
        <f>[1]!relProject("1::2::3::4",[1]!relSelect("LEFT($1,1)=""3""",$I$11))</f>
        <v xml:space="preserve">3100::Achats::600:: _x000D_3800::Salaires::1500:: </v>
      </c>
      <c r="J14" s="9" t="s">
        <v>406</v>
      </c>
    </row>
    <row r="15" spans="1:10">
      <c r="A15" s="2"/>
      <c r="G15" s="2"/>
      <c r="I15" s="19" t="str">
        <f>[1]!relProject("1::2::4::5",[1]!relExtend("-%3",[1]!relSelect("LEFT($1,1)=""4""",$I$11)))</f>
        <v>4000::Vente:: ::1728</v>
      </c>
      <c r="J15" s="9" t="s">
        <v>407</v>
      </c>
    </row>
    <row r="16" spans="1:10">
      <c r="A16" s="2"/>
      <c r="G16" s="2"/>
      <c r="I16" s="19" t="str">
        <f>[1]!relProject("SUM 3",I12)</f>
        <v>6053.5</v>
      </c>
      <c r="J16" s="9" t="s">
        <v>408</v>
      </c>
    </row>
    <row r="17" spans="1:10">
      <c r="A17" s="2"/>
      <c r="G17" s="2"/>
      <c r="I17" s="19" t="str">
        <f>[1]!relProject("SUM 4",I13)</f>
        <v>6425.5</v>
      </c>
      <c r="J17" s="9" t="s">
        <v>409</v>
      </c>
    </row>
    <row r="18" spans="1:10">
      <c r="A18" s="2"/>
      <c r="G18" s="2"/>
      <c r="I18" s="19" t="str">
        <f>[1]!relProject("SUM 3",I14)</f>
        <v>2100</v>
      </c>
      <c r="J18" s="9" t="s">
        <v>411</v>
      </c>
    </row>
    <row r="19" spans="1:10">
      <c r="A19" s="2"/>
      <c r="G19" s="2"/>
      <c r="I19" s="19" t="str">
        <f>[1]!relProject("SUM 4",I15)</f>
        <v>1728</v>
      </c>
      <c r="J19" s="9" t="s">
        <v>412</v>
      </c>
    </row>
    <row r="20" spans="1:10">
      <c r="A20" s="2"/>
      <c r="G20" s="2"/>
      <c r="I20" s="19" t="str">
        <f>"::PROFIT:: ::"&amp;TEXT(I16-I17,"-0.00")</f>
        <v>::PROFIT:: ::--372.00</v>
      </c>
      <c r="J20" s="9" t="s">
        <v>410</v>
      </c>
    </row>
    <row r="21" spans="1:10">
      <c r="A21" s="2"/>
      <c r="G21" s="2"/>
      <c r="I21" s="19" t="str">
        <f>"::PROFIT::"&amp;TEXT(I19-I18,"-0.00")&amp;"::"</f>
        <v>::PROFIT::--372.00::</v>
      </c>
      <c r="J21" s="9" t="s">
        <v>410</v>
      </c>
    </row>
    <row r="22" spans="1:10">
      <c r="A22" s="2"/>
      <c r="G22" s="2"/>
      <c r="I22" s="19" t="str">
        <f>"::TOTAL::"&amp;I16&amp;"::"&amp;I17</f>
        <v>::TOTAL::6053.5::6425.5</v>
      </c>
      <c r="J22" s="9" t="s">
        <v>413</v>
      </c>
    </row>
    <row r="23" spans="1:10">
      <c r="A23" s="2"/>
      <c r="G23" s="2"/>
      <c r="I23" s="19" t="str">
        <f>"::TOTAL::"&amp;I19&amp;"::"&amp;I19</f>
        <v>::TOTAL::1728::1728</v>
      </c>
      <c r="J23" s="9" t="s">
        <v>414</v>
      </c>
    </row>
    <row r="24" spans="1:10">
      <c r="A24" t="s">
        <v>370</v>
      </c>
      <c r="B24" t="s">
        <v>376</v>
      </c>
      <c r="C24" t="s">
        <v>371</v>
      </c>
      <c r="D24" t="s">
        <v>372</v>
      </c>
      <c r="E24" t="s">
        <v>373</v>
      </c>
      <c r="G24" t="s">
        <v>375</v>
      </c>
      <c r="H24" t="s">
        <v>376</v>
      </c>
      <c r="I24" s="19"/>
      <c r="J24" s="2"/>
    </row>
    <row r="25" spans="1:10">
      <c r="A25" s="6">
        <v>42370</v>
      </c>
      <c r="B25" t="s">
        <v>384</v>
      </c>
      <c r="C25">
        <v>1100</v>
      </c>
      <c r="D25">
        <v>9000</v>
      </c>
      <c r="E25" s="18">
        <v>225</v>
      </c>
      <c r="F25" s="18"/>
      <c r="G25">
        <v>1100</v>
      </c>
      <c r="H25" t="s">
        <v>377</v>
      </c>
      <c r="I25" s="19"/>
      <c r="J25" s="2"/>
    </row>
    <row r="26" spans="1:10">
      <c r="A26" s="6">
        <v>42370</v>
      </c>
      <c r="B26" t="s">
        <v>397</v>
      </c>
      <c r="C26">
        <v>1200</v>
      </c>
      <c r="D26">
        <v>9000</v>
      </c>
      <c r="E26" s="18">
        <v>6200.5</v>
      </c>
      <c r="G26">
        <v>1200</v>
      </c>
      <c r="H26" t="s">
        <v>385</v>
      </c>
      <c r="I26" s="19"/>
      <c r="J26" s="2"/>
    </row>
    <row r="27" spans="1:10">
      <c r="A27" s="6">
        <v>42370</v>
      </c>
      <c r="B27" t="s">
        <v>386</v>
      </c>
      <c r="C27">
        <v>9000</v>
      </c>
      <c r="D27">
        <v>2800</v>
      </c>
      <c r="E27" s="18">
        <v>6425.5</v>
      </c>
      <c r="G27">
        <v>2800</v>
      </c>
      <c r="H27" t="s">
        <v>378</v>
      </c>
      <c r="I27" s="19"/>
      <c r="J27" s="2"/>
    </row>
    <row r="28" spans="1:10">
      <c r="A28" s="6">
        <v>42375</v>
      </c>
      <c r="B28" t="s">
        <v>389</v>
      </c>
      <c r="C28">
        <v>1100</v>
      </c>
      <c r="D28">
        <v>4000</v>
      </c>
      <c r="E28" s="18">
        <v>249</v>
      </c>
      <c r="G28">
        <v>3100</v>
      </c>
      <c r="H28" t="s">
        <v>379</v>
      </c>
      <c r="I28" s="19"/>
      <c r="J28" s="2"/>
    </row>
    <row r="29" spans="1:10">
      <c r="A29" s="6">
        <v>42376</v>
      </c>
      <c r="B29" t="s">
        <v>387</v>
      </c>
      <c r="C29">
        <v>3100</v>
      </c>
      <c r="D29">
        <v>1200</v>
      </c>
      <c r="E29" s="18">
        <v>480</v>
      </c>
      <c r="G29">
        <v>3800</v>
      </c>
      <c r="H29" t="s">
        <v>380</v>
      </c>
      <c r="I29" s="19"/>
      <c r="J29" s="2"/>
    </row>
    <row r="30" spans="1:10">
      <c r="A30" s="6">
        <v>42384</v>
      </c>
      <c r="B30" t="s">
        <v>389</v>
      </c>
      <c r="C30">
        <v>1100</v>
      </c>
      <c r="D30">
        <v>4000</v>
      </c>
      <c r="E30" s="18">
        <v>78</v>
      </c>
      <c r="G30">
        <v>4000</v>
      </c>
      <c r="H30" t="s">
        <v>381</v>
      </c>
      <c r="I30" s="19"/>
      <c r="J30" s="2"/>
    </row>
    <row r="31" spans="1:10">
      <c r="A31" s="6">
        <v>42389</v>
      </c>
      <c r="B31" t="s">
        <v>389</v>
      </c>
      <c r="C31">
        <v>1100</v>
      </c>
      <c r="D31">
        <v>4000</v>
      </c>
      <c r="E31" s="18">
        <v>145</v>
      </c>
      <c r="G31">
        <v>9000</v>
      </c>
      <c r="H31" t="s">
        <v>382</v>
      </c>
      <c r="I31" s="19"/>
      <c r="J31" s="2"/>
    </row>
    <row r="32" spans="1:10">
      <c r="A32" s="6">
        <v>42394</v>
      </c>
      <c r="B32" t="s">
        <v>388</v>
      </c>
      <c r="C32">
        <v>3800</v>
      </c>
      <c r="D32">
        <v>1200</v>
      </c>
      <c r="E32" s="18">
        <v>750</v>
      </c>
      <c r="G32">
        <v>9001</v>
      </c>
      <c r="H32" t="s">
        <v>383</v>
      </c>
      <c r="I32" s="19"/>
      <c r="J32" s="2"/>
    </row>
    <row r="33" spans="1:10">
      <c r="A33" s="6">
        <v>42394</v>
      </c>
      <c r="B33" t="s">
        <v>387</v>
      </c>
      <c r="C33">
        <v>3100</v>
      </c>
      <c r="D33">
        <v>1200</v>
      </c>
      <c r="E33" s="18">
        <v>120</v>
      </c>
      <c r="I33" s="19"/>
      <c r="J33" s="2"/>
    </row>
    <row r="34" spans="1:10">
      <c r="A34" s="6">
        <v>42395</v>
      </c>
      <c r="B34" t="s">
        <v>389</v>
      </c>
      <c r="C34">
        <v>1100</v>
      </c>
      <c r="D34">
        <v>4000</v>
      </c>
      <c r="E34" s="18">
        <v>22</v>
      </c>
      <c r="I34" s="19"/>
      <c r="J34" s="2"/>
    </row>
    <row r="35" spans="1:10">
      <c r="A35" s="6">
        <v>42402</v>
      </c>
      <c r="B35" t="s">
        <v>389</v>
      </c>
      <c r="C35">
        <v>1100</v>
      </c>
      <c r="D35">
        <v>4000</v>
      </c>
      <c r="E35" s="18">
        <v>80</v>
      </c>
      <c r="I35" s="19"/>
      <c r="J35" s="2"/>
    </row>
    <row r="36" spans="1:10">
      <c r="A36" s="6">
        <v>42373</v>
      </c>
      <c r="B36" t="s">
        <v>389</v>
      </c>
      <c r="C36">
        <v>1100</v>
      </c>
      <c r="D36">
        <v>4000</v>
      </c>
      <c r="E36" s="18">
        <v>245</v>
      </c>
      <c r="I36" s="19"/>
      <c r="J36" s="2"/>
    </row>
    <row r="37" spans="1:10">
      <c r="A37" s="6">
        <v>42411</v>
      </c>
      <c r="B37" t="s">
        <v>389</v>
      </c>
      <c r="C37">
        <v>1100</v>
      </c>
      <c r="D37">
        <v>4000</v>
      </c>
      <c r="E37" s="18">
        <v>320</v>
      </c>
      <c r="I37" s="19"/>
      <c r="J37" s="2"/>
    </row>
    <row r="38" spans="1:10">
      <c r="A38" s="6">
        <v>42416</v>
      </c>
      <c r="B38" t="s">
        <v>389</v>
      </c>
      <c r="C38">
        <v>1100</v>
      </c>
      <c r="D38">
        <v>4000</v>
      </c>
      <c r="E38" s="18">
        <v>110</v>
      </c>
      <c r="I38" s="19"/>
      <c r="J38" s="2"/>
    </row>
    <row r="39" spans="1:10">
      <c r="A39" s="6">
        <v>42425</v>
      </c>
      <c r="B39" t="s">
        <v>388</v>
      </c>
      <c r="C39">
        <v>3800</v>
      </c>
      <c r="D39">
        <v>1200</v>
      </c>
      <c r="E39" s="18">
        <v>750</v>
      </c>
      <c r="I39" s="19"/>
      <c r="J39" s="2"/>
    </row>
    <row r="40" spans="1:10">
      <c r="A40" s="6">
        <v>42427</v>
      </c>
      <c r="B40" t="s">
        <v>389</v>
      </c>
      <c r="C40">
        <v>1100</v>
      </c>
      <c r="D40">
        <v>4000</v>
      </c>
      <c r="E40" s="18">
        <v>290</v>
      </c>
      <c r="I40" s="19"/>
      <c r="J40" s="2"/>
    </row>
    <row r="41" spans="1:10">
      <c r="A41" s="6">
        <v>42428</v>
      </c>
      <c r="B41" t="s">
        <v>389</v>
      </c>
      <c r="C41">
        <v>1100</v>
      </c>
      <c r="D41">
        <v>4000</v>
      </c>
      <c r="E41" s="18">
        <v>189</v>
      </c>
      <c r="I41" s="19"/>
      <c r="J41" s="2"/>
    </row>
    <row r="42" spans="1:10">
      <c r="I42" s="19"/>
      <c r="J42" s="2"/>
    </row>
    <row r="43" spans="1:10">
      <c r="H43" s="18"/>
      <c r="I43" s="19"/>
      <c r="J43" s="2"/>
    </row>
    <row r="44" spans="1:10">
      <c r="I44" s="19"/>
      <c r="J44" s="2"/>
    </row>
    <row r="45" spans="1:10">
      <c r="I45" s="19"/>
      <c r="J45" s="2"/>
    </row>
    <row r="46" spans="1:10">
      <c r="I46" s="19"/>
      <c r="J46" s="2"/>
    </row>
    <row r="57" spans="9:9">
      <c r="I57" t="str">
        <f>[1]!relRange(I50:I55)</f>
        <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A1:K87"/>
  <sheetViews>
    <sheetView showRuler="0" topLeftCell="A73" workbookViewId="0">
      <selection activeCell="A100" sqref="A100"/>
    </sheetView>
  </sheetViews>
  <sheetFormatPr baseColWidth="10" defaultRowHeight="15" x14ac:dyDescent="0"/>
  <cols>
    <col min="1" max="1" width="33.1640625" customWidth="1"/>
    <col min="2" max="2" width="31" customWidth="1"/>
    <col min="3" max="3" width="10.33203125" customWidth="1"/>
    <col min="4" max="4" width="51.1640625" customWidth="1"/>
  </cols>
  <sheetData>
    <row r="1" spans="1:11">
      <c r="A1" s="2" t="s">
        <v>94</v>
      </c>
      <c r="E1">
        <v>1</v>
      </c>
      <c r="F1" t="s">
        <v>9</v>
      </c>
      <c r="G1">
        <v>240</v>
      </c>
      <c r="H1">
        <v>1</v>
      </c>
      <c r="I1" t="s">
        <v>2</v>
      </c>
      <c r="J1">
        <v>1</v>
      </c>
      <c r="K1" t="s">
        <v>2</v>
      </c>
    </row>
    <row r="2" spans="1:11">
      <c r="E2">
        <v>2</v>
      </c>
      <c r="F2" t="s">
        <v>10</v>
      </c>
      <c r="G2">
        <v>120</v>
      </c>
      <c r="H2">
        <v>2</v>
      </c>
      <c r="I2" t="s">
        <v>3</v>
      </c>
      <c r="J2">
        <v>2</v>
      </c>
      <c r="K2" t="s">
        <v>3</v>
      </c>
    </row>
    <row r="3" spans="1:11">
      <c r="E3">
        <v>3</v>
      </c>
      <c r="F3" t="s">
        <v>11</v>
      </c>
      <c r="G3">
        <v>150</v>
      </c>
      <c r="H3">
        <v>3</v>
      </c>
      <c r="I3" t="s">
        <v>4</v>
      </c>
      <c r="J3">
        <v>3</v>
      </c>
      <c r="K3" t="s">
        <v>4</v>
      </c>
    </row>
    <row r="4" spans="1:11">
      <c r="E4">
        <v>4</v>
      </c>
      <c r="F4" t="s">
        <v>12</v>
      </c>
      <c r="G4">
        <v>5</v>
      </c>
      <c r="H4">
        <v>4</v>
      </c>
      <c r="I4" t="s">
        <v>23</v>
      </c>
      <c r="J4">
        <v>4</v>
      </c>
      <c r="K4" t="s">
        <v>23</v>
      </c>
    </row>
    <row r="5" spans="1:11">
      <c r="E5">
        <v>5</v>
      </c>
      <c r="F5" t="s">
        <v>13</v>
      </c>
      <c r="G5">
        <v>240</v>
      </c>
      <c r="H5">
        <v>5</v>
      </c>
      <c r="I5" t="s">
        <v>5</v>
      </c>
      <c r="J5" t="s">
        <v>112</v>
      </c>
      <c r="K5" t="s">
        <v>5</v>
      </c>
    </row>
    <row r="6" spans="1:11">
      <c r="E6">
        <v>6</v>
      </c>
      <c r="F6" t="s">
        <v>14</v>
      </c>
      <c r="G6">
        <v>180</v>
      </c>
      <c r="H6">
        <v>6</v>
      </c>
      <c r="I6" t="s">
        <v>6</v>
      </c>
      <c r="J6" t="s">
        <v>113</v>
      </c>
      <c r="K6" t="s">
        <v>6</v>
      </c>
    </row>
    <row r="7" spans="1:11">
      <c r="E7">
        <v>7</v>
      </c>
      <c r="F7" t="s">
        <v>15</v>
      </c>
      <c r="G7">
        <v>90</v>
      </c>
    </row>
    <row r="8" spans="1:11">
      <c r="E8">
        <v>8</v>
      </c>
      <c r="F8" t="s">
        <v>16</v>
      </c>
      <c r="G8">
        <v>270</v>
      </c>
    </row>
    <row r="9" spans="1:11">
      <c r="E9">
        <v>9</v>
      </c>
      <c r="F9" t="s">
        <v>17</v>
      </c>
      <c r="G9">
        <v>66</v>
      </c>
    </row>
    <row r="10" spans="1:11">
      <c r="E10">
        <v>10</v>
      </c>
      <c r="F10" t="s">
        <v>18</v>
      </c>
      <c r="G10">
        <v>180</v>
      </c>
    </row>
    <row r="11" spans="1:11">
      <c r="A11" t="s">
        <v>95</v>
      </c>
      <c r="B11" t="s">
        <v>98</v>
      </c>
      <c r="C11" t="s">
        <v>97</v>
      </c>
      <c r="D11" t="s">
        <v>96</v>
      </c>
      <c r="E11" s="2" t="s">
        <v>211</v>
      </c>
    </row>
    <row r="12" spans="1:11">
      <c r="A12" t="s">
        <v>99</v>
      </c>
      <c r="B12" t="str">
        <f>[1]!relRange(E1:G10)</f>
        <v>1::Hard drive::240_x000D_2::Memory::120_x000D_3::ZIP drive::150_x000D_4::Floppy disk::5_x000D_5::Monitor::240_x000D_6::DVD drive::180_x000D_7::CD drive::90_x000D_8::Printer::270_x000D_9::Toner cartridge::66_x000D_10::DVD burner::180</v>
      </c>
      <c r="C12" t="b">
        <f>(B12=D12)</f>
        <v>1</v>
      </c>
      <c r="D12" t="s">
        <v>102</v>
      </c>
    </row>
    <row r="13" spans="1:11">
      <c r="A13" t="s">
        <v>100</v>
      </c>
      <c r="B13" t="str">
        <f>[1]!relRange(H1:I6)</f>
        <v>1::Sony_x000D_2::Creative Labs_x000D_3::Hewlett Packard_x000D_4::Iomega_x000D_5::Fujitsu_x000D_6::Winchester</v>
      </c>
      <c r="C13" t="b">
        <f>(B13=D13)</f>
        <v>1</v>
      </c>
      <c r="D13" t="s">
        <v>103</v>
      </c>
    </row>
    <row r="14" spans="1:11">
      <c r="A14" s="11" t="s">
        <v>116</v>
      </c>
      <c r="B14" s="11" t="str">
        <f>[1]!relRange(J2:K6)</f>
        <v>2::Creative Labs_x000D_3::Hewlett Packard_x000D_4::Iomega_x000D_x::Fujitsu_x000D_y::Winchester</v>
      </c>
      <c r="C14" t="b">
        <f>(B14=D14)</f>
        <v>1</v>
      </c>
      <c r="D14" t="s">
        <v>115</v>
      </c>
    </row>
    <row r="15" spans="1:11">
      <c r="A15" t="s">
        <v>101</v>
      </c>
      <c r="B15" s="11" t="e">
        <f>[1]!relRange("blabla")</f>
        <v>#VALUE!</v>
      </c>
      <c r="C15" t="e">
        <f t="shared" ref="C15:C39" si="0">(B15=D15)</f>
        <v>#VALUE!</v>
      </c>
      <c r="D15" t="e">
        <v>#VALUE!</v>
      </c>
      <c r="E15" s="2" t="s">
        <v>204</v>
      </c>
    </row>
    <row r="16" spans="1:11">
      <c r="A16" t="s">
        <v>117</v>
      </c>
      <c r="B16" s="11" t="e">
        <f>[1]!relRange("1::Sony")</f>
        <v>#VALUE!</v>
      </c>
      <c r="C16" t="e">
        <f t="shared" si="0"/>
        <v>#VALUE!</v>
      </c>
      <c r="D16" t="e">
        <v>#VALUE!</v>
      </c>
      <c r="E16" s="2" t="s">
        <v>204</v>
      </c>
    </row>
    <row r="17" spans="1:5">
      <c r="B17" s="11"/>
    </row>
    <row r="18" spans="1:5">
      <c r="A18" t="s">
        <v>107</v>
      </c>
      <c r="B18" t="str">
        <f>[1]!relSelect("%1&lt;4",$B$12)</f>
        <v>1::Hard drive::240_x000D_2::Memory::120_x000D_3::ZIP drive::150</v>
      </c>
      <c r="C18" t="b">
        <f t="shared" si="0"/>
        <v>1</v>
      </c>
      <c r="D18" t="s">
        <v>105</v>
      </c>
    </row>
    <row r="19" spans="1:5">
      <c r="A19" t="s">
        <v>108</v>
      </c>
      <c r="B19" t="str">
        <f>[1]!relSelect("$1&lt;4",$B$12)</f>
        <v/>
      </c>
      <c r="C19" t="b">
        <f t="shared" si="0"/>
        <v>1</v>
      </c>
      <c r="E19" s="2" t="s">
        <v>205</v>
      </c>
    </row>
    <row r="20" spans="1:5">
      <c r="A20" t="s">
        <v>109</v>
      </c>
      <c r="B20" t="str">
        <f>[1]!relSelect("LEFT($2,1)=""M""",$B$12)</f>
        <v>2::Memory::120_x000D_5::Monitor::240</v>
      </c>
      <c r="C20" t="b">
        <f t="shared" si="0"/>
        <v>1</v>
      </c>
      <c r="D20" t="s">
        <v>106</v>
      </c>
    </row>
    <row r="21" spans="1:5">
      <c r="A21" t="s">
        <v>110</v>
      </c>
      <c r="B21" t="str">
        <f>[1]!relSelect("LEFT($2,1)=""X""",$B$12)</f>
        <v/>
      </c>
      <c r="C21" t="b">
        <f t="shared" si="0"/>
        <v>1</v>
      </c>
      <c r="E21" s="2" t="s">
        <v>206</v>
      </c>
    </row>
    <row r="22" spans="1:5">
      <c r="A22" t="s">
        <v>111</v>
      </c>
      <c r="B22" t="str">
        <f>[1]!relSelect("LEFT(%2,1)=""M""",$B$12)</f>
        <v/>
      </c>
      <c r="C22" t="b">
        <f t="shared" si="0"/>
        <v>1</v>
      </c>
      <c r="E22" s="2" t="s">
        <v>208</v>
      </c>
    </row>
    <row r="23" spans="1:5">
      <c r="A23" t="s">
        <v>118</v>
      </c>
      <c r="B23" t="str">
        <f>[1]!relSelect("LEFT($2,1)=""X""",$C$3)</f>
        <v/>
      </c>
      <c r="C23" t="b">
        <f t="shared" si="0"/>
        <v>1</v>
      </c>
      <c r="E23" s="2" t="s">
        <v>207</v>
      </c>
    </row>
    <row r="24" spans="1:5" s="2" customFormat="1">
      <c r="A24" s="4" t="s">
        <v>119</v>
      </c>
      <c r="B24" s="4" t="e">
        <f>[1]!relSelect("LEFT($2,1)=""X""",$C$3:$C$4)</f>
        <v>#VALUE!</v>
      </c>
      <c r="C24" s="4" t="e">
        <f t="shared" si="0"/>
        <v>#VALUE!</v>
      </c>
      <c r="D24" s="4" t="e">
        <v>#VALUE!</v>
      </c>
      <c r="E24" s="2" t="s">
        <v>209</v>
      </c>
    </row>
    <row r="25" spans="1:5">
      <c r="A25" t="s">
        <v>120</v>
      </c>
      <c r="B25" t="str">
        <f>[1]!relSelect("%1&lt;4","1::Sony")</f>
        <v>1::Sony</v>
      </c>
      <c r="C25" t="b">
        <f t="shared" si="0"/>
        <v>1</v>
      </c>
      <c r="D25" t="s">
        <v>114</v>
      </c>
    </row>
    <row r="26" spans="1:5">
      <c r="A26" t="s">
        <v>121</v>
      </c>
      <c r="B26" t="str">
        <f>[1]!relSelect("blabla",$B$12)</f>
        <v>#ERROR CONDITION LINE  1 : =(blabla)</v>
      </c>
      <c r="C26" t="b">
        <f t="shared" si="0"/>
        <v>1</v>
      </c>
      <c r="D26" t="s">
        <v>210</v>
      </c>
    </row>
    <row r="27" spans="1:5">
      <c r="A27" t="s">
        <v>138</v>
      </c>
      <c r="B27" t="str">
        <f>[1]!relSelect("%1&lt;4",$B$14)</f>
        <v>2::Creative Labs_x000D_3::Hewlett Packard_x000D_x::Fujitsu_x000D_y::Winchester</v>
      </c>
      <c r="C27" t="b">
        <f t="shared" si="0"/>
        <v>1</v>
      </c>
      <c r="D27" t="s">
        <v>136</v>
      </c>
    </row>
    <row r="28" spans="1:5">
      <c r="A28" t="s">
        <v>139</v>
      </c>
      <c r="B28" t="str">
        <f>[1]!relSelect("VALUE($1)&lt;4",$B$14)</f>
        <v>#ERROR CONDITION LINE  4 : =(VALUE("x")&lt;4)</v>
      </c>
      <c r="C28" t="b">
        <f t="shared" si="0"/>
        <v>1</v>
      </c>
      <c r="D28" t="s">
        <v>137</v>
      </c>
    </row>
    <row r="29" spans="1:5">
      <c r="A29" t="s">
        <v>140</v>
      </c>
      <c r="B29" t="str">
        <f>[1]!relSelect("TEXT(%1,""0"")=""5""",$B$12)</f>
        <v>5::Monitor::240</v>
      </c>
      <c r="C29" t="b">
        <f t="shared" si="0"/>
        <v>1</v>
      </c>
      <c r="D29" t="s">
        <v>104</v>
      </c>
    </row>
    <row r="30" spans="1:5">
      <c r="C30" t="b">
        <f t="shared" si="0"/>
        <v>1</v>
      </c>
    </row>
    <row r="31" spans="1:5">
      <c r="A31" t="s">
        <v>122</v>
      </c>
      <c r="B31" t="str">
        <f>[1]!relProject("1::2",$B$12)</f>
        <v>1::Hard drive_x000D_2::Memory_x000D_3::ZIP drive_x000D_4::Floppy disk_x000D_5::Monitor_x000D_6::DVD drive_x000D_7::CD drive_x000D_8::Printer_x000D_9::Toner cartridge_x000D_10::DVD burner</v>
      </c>
      <c r="C31" t="b">
        <f t="shared" si="0"/>
        <v>1</v>
      </c>
      <c r="D31" t="s">
        <v>130</v>
      </c>
    </row>
    <row r="32" spans="1:5">
      <c r="A32" t="s">
        <v>123</v>
      </c>
      <c r="B32" t="str">
        <f>[1]!relProject("0::2",$B$12)</f>
        <v>#ERROR COLUMN: 0</v>
      </c>
      <c r="C32" t="b">
        <f t="shared" si="0"/>
        <v>1</v>
      </c>
      <c r="D32" t="s">
        <v>131</v>
      </c>
    </row>
    <row r="33" spans="1:5">
      <c r="A33" t="s">
        <v>124</v>
      </c>
      <c r="B33" t="str">
        <f>[1]!relProject("3::2",$B$12)</f>
        <v>240::Hard drive_x000D_120::Memory_x000D_150::ZIP drive_x000D_5::Floppy disk_x000D_240::Monitor_x000D_180::DVD drive_x000D_90::CD drive_x000D_270::Printer_x000D_66::Toner cartridge_x000D_180::DVD burner</v>
      </c>
      <c r="C33" t="b">
        <f t="shared" si="0"/>
        <v>1</v>
      </c>
      <c r="D33" t="s">
        <v>132</v>
      </c>
    </row>
    <row r="34" spans="1:5">
      <c r="A34" t="s">
        <v>125</v>
      </c>
      <c r="B34" t="str">
        <f>[1]!relProject("",$B$12)</f>
        <v/>
      </c>
      <c r="C34" t="b">
        <f t="shared" si="0"/>
        <v>1</v>
      </c>
      <c r="E34" s="2" t="s">
        <v>212</v>
      </c>
    </row>
    <row r="35" spans="1:5">
      <c r="A35" t="s">
        <v>125</v>
      </c>
      <c r="B35" t="str">
        <f>[1]!relProject(" ",$B$12)</f>
        <v>#ERROR LIST EMPTY</v>
      </c>
      <c r="C35" t="b">
        <f t="shared" si="0"/>
        <v>1</v>
      </c>
      <c r="D35" t="s">
        <v>135</v>
      </c>
      <c r="E35" s="2" t="s">
        <v>213</v>
      </c>
    </row>
    <row r="36" spans="1:5">
      <c r="A36" t="s">
        <v>126</v>
      </c>
      <c r="B36" t="str">
        <f>[1]!relProject("blabla",$B$12)</f>
        <v>#ERROR COLUMN: blabla</v>
      </c>
      <c r="C36" t="b">
        <f t="shared" si="0"/>
        <v>1</v>
      </c>
      <c r="D36" t="s">
        <v>133</v>
      </c>
      <c r="E36" s="2"/>
    </row>
    <row r="37" spans="1:5">
      <c r="A37" t="s">
        <v>127</v>
      </c>
      <c r="B37" t="str">
        <f>[1]!relProject("1",$C$3)</f>
        <v/>
      </c>
      <c r="C37" t="b">
        <f t="shared" si="0"/>
        <v>0</v>
      </c>
      <c r="D37" t="s">
        <v>134</v>
      </c>
      <c r="E37" s="2" t="s">
        <v>207</v>
      </c>
    </row>
    <row r="38" spans="1:5">
      <c r="A38" t="s">
        <v>128</v>
      </c>
      <c r="B38" t="str">
        <f>[1]!relProject("",$C$3)</f>
        <v/>
      </c>
      <c r="C38" t="b">
        <f t="shared" si="0"/>
        <v>1</v>
      </c>
      <c r="E38" s="2" t="s">
        <v>207</v>
      </c>
    </row>
    <row r="39" spans="1:5">
      <c r="A39" t="s">
        <v>129</v>
      </c>
      <c r="B39" t="str">
        <f>[1]!relProject("2","1::Sony")</f>
        <v>Sony</v>
      </c>
      <c r="C39" t="b">
        <f t="shared" si="0"/>
        <v>1</v>
      </c>
      <c r="D39" t="s">
        <v>2</v>
      </c>
    </row>
    <row r="41" spans="1:5">
      <c r="A41" t="s">
        <v>161</v>
      </c>
      <c r="B41" t="str">
        <f>[1]!relExtend("%1*2",$B$12)</f>
        <v>1::Hard drive::240::2_x000D_2::Memory::120::4_x000D_3::ZIP drive::150::6_x000D_4::Floppy disk::5::8_x000D_5::Monitor::240::10_x000D_6::DVD drive::180::12_x000D_7::CD drive::90::14_x000D_8::Printer::270::16_x000D_9::Toner cartridge::66::18_x000D_10::DVD burner::180::20</v>
      </c>
      <c r="C41" t="b">
        <f t="shared" ref="C41:C82" si="1">(B41=D41)</f>
        <v>1</v>
      </c>
      <c r="D41" t="s">
        <v>169</v>
      </c>
    </row>
    <row r="42" spans="1:5">
      <c r="A42" t="s">
        <v>162</v>
      </c>
      <c r="B42" t="str">
        <f>[1]!relExtend("$1*2",$B$12)</f>
        <v>1::Hard drive::240::2_x000D_2::Memory::120::4_x000D_3::ZIP drive::150::6_x000D_4::Floppy disk::5::8_x000D_5::Monitor::240::10_x000D_6::DVD drive::180::12_x000D_7::CD drive::90::14_x000D_8::Printer::270::16_x000D_9::Toner cartridge::66::18_x000D_10::DVD burner::180::20</v>
      </c>
      <c r="C42" t="b">
        <f t="shared" si="1"/>
        <v>1</v>
      </c>
      <c r="D42" t="s">
        <v>169</v>
      </c>
    </row>
    <row r="43" spans="1:5">
      <c r="A43" t="s">
        <v>163</v>
      </c>
      <c r="B43" t="str">
        <f>[1]!relExtend("%2=""Memory""",$B$12)</f>
        <v>1::Hard drive::240::False_x000D_2::Memory::120::False_x000D_3::ZIP drive::150::False_x000D_4::Floppy disk::5::False_x000D_5::Monitor::240::False_x000D_6::DVD drive::180::False_x000D_7::CD drive::90::False_x000D_8::Printer::270::False_x000D_9::Toner cartridge::66::False_x000D_10::DVD burner::180::False</v>
      </c>
      <c r="C43" t="b">
        <f t="shared" si="1"/>
        <v>1</v>
      </c>
      <c r="D43" t="s">
        <v>170</v>
      </c>
    </row>
    <row r="44" spans="1:5">
      <c r="A44" t="s">
        <v>164</v>
      </c>
      <c r="B44" t="str">
        <f>[1]!relExtend("$2=""Memory""",$B$12)</f>
        <v>1::Hard drive::240::False_x000D_2::Memory::120::True_x000D_3::ZIP drive::150::False_x000D_4::Floppy disk::5::False_x000D_5::Monitor::240::False_x000D_6::DVD drive::180::False_x000D_7::CD drive::90::False_x000D_8::Printer::270::False_x000D_9::Toner cartridge::66::False_x000D_10::DVD burner::180::False</v>
      </c>
      <c r="C44" t="b">
        <f t="shared" si="1"/>
        <v>1</v>
      </c>
      <c r="D44" t="s">
        <v>171</v>
      </c>
    </row>
    <row r="45" spans="1:5">
      <c r="A45" t="s">
        <v>165</v>
      </c>
      <c r="B45" t="str">
        <f>[1]!relExtend("$2blabla""",$B$12)</f>
        <v>#ERROR CALCULATION LINE  1 : =("Hard drive"blabla")</v>
      </c>
      <c r="C45" t="b">
        <f t="shared" si="1"/>
        <v>1</v>
      </c>
      <c r="D45" t="s">
        <v>172</v>
      </c>
    </row>
    <row r="46" spans="1:5">
      <c r="A46" t="s">
        <v>166</v>
      </c>
      <c r="B46" t="str">
        <f>[1]!relExtend("%1/0",$B$12)</f>
        <v>#ERROR CALCULATION LINE  1 : =( 1/0)</v>
      </c>
      <c r="C46" t="b">
        <f t="shared" si="1"/>
        <v>1</v>
      </c>
      <c r="D46" t="s">
        <v>173</v>
      </c>
    </row>
    <row r="47" spans="1:5">
      <c r="A47" t="s">
        <v>167</v>
      </c>
      <c r="B47" t="str">
        <f>[1]!relExtend("%1*5","1::Sony")</f>
        <v>1::Sony::5</v>
      </c>
      <c r="C47" t="b">
        <f t="shared" si="1"/>
        <v>1</v>
      </c>
      <c r="D47" t="s">
        <v>174</v>
      </c>
    </row>
    <row r="48" spans="1:5">
      <c r="A48" t="s">
        <v>217</v>
      </c>
      <c r="B48" t="str">
        <f>[1]!relExtend("%1*0.22",$B$12)</f>
        <v>1::Hard drive::240::0.22_x000D_2::Memory::120::0.44_x000D_3::ZIP drive::150::0.66_x000D_4::Floppy disk::5::0.88_x000D_5::Monitor::240::1.1_x000D_6::DVD drive::180::1.32_x000D_7::CD drive::90::1.54_x000D_8::Printer::270::1.76_x000D_9::Toner cartridge::66::1.98_x000D_10::DVD burner::180::2.2</v>
      </c>
      <c r="C48" t="b">
        <f>(B48=D48)</f>
        <v>1</v>
      </c>
      <c r="D48" t="s">
        <v>216</v>
      </c>
    </row>
    <row r="49" spans="1:5">
      <c r="A49" t="s">
        <v>168</v>
      </c>
      <c r="B49" t="str">
        <f>[1]!relExtend("%1*5","")</f>
        <v/>
      </c>
      <c r="C49" t="b">
        <f t="shared" si="1"/>
        <v>1</v>
      </c>
    </row>
    <row r="51" spans="1:5">
      <c r="A51" t="s">
        <v>144</v>
      </c>
      <c r="B51" t="str">
        <f>[1]!relUnion($B$13,$B$14)</f>
        <v>1::Sony_x000D_2::Creative Labs_x000D_3::Hewlett Packard_x000D_4::Iomega_x000D_5::Fujitsu_x000D_6::Winchester_x000D_x::Fujitsu_x000D_y::Winchester</v>
      </c>
      <c r="C51" t="b">
        <f t="shared" si="1"/>
        <v>1</v>
      </c>
      <c r="D51" t="s">
        <v>141</v>
      </c>
    </row>
    <row r="52" spans="1:5">
      <c r="A52" t="e">
        <f>[1]!relUnion($B$13,"10::Panasonic")+B28</f>
        <v>#VALUE!</v>
      </c>
      <c r="B52" t="str">
        <f>[1]!relUnion($B$13,"10::Panasonic")</f>
        <v>1::Sony_x000D_2::Creative Labs_x000D_3::Hewlett Packard_x000D_4::Iomega_x000D_5::Fujitsu_x000D_6::Winchester_x000D_10::Panasonic</v>
      </c>
      <c r="C52" t="b">
        <f t="shared" si="1"/>
        <v>1</v>
      </c>
      <c r="D52" t="s">
        <v>142</v>
      </c>
    </row>
    <row r="53" spans="1:5">
      <c r="A53" t="s">
        <v>145</v>
      </c>
      <c r="B53" t="str">
        <f>[1]!relUnion($B$12,$B$13)</f>
        <v>#ERROR ARITY :  3 &lt;&gt; 2</v>
      </c>
      <c r="C53" t="b">
        <f t="shared" si="1"/>
        <v>1</v>
      </c>
      <c r="D53" t="s">
        <v>143</v>
      </c>
    </row>
    <row r="54" spans="1:5">
      <c r="A54" t="s">
        <v>146</v>
      </c>
      <c r="B54" t="str">
        <f>[1]!relUnion($B$13,"")</f>
        <v>1::Sony_x000D_2::Creative Labs_x000D_3::Hewlett Packard_x000D_4::Iomega_x000D_5::Fujitsu_x000D_6::Winchester</v>
      </c>
      <c r="C54" t="b">
        <f t="shared" si="1"/>
        <v>1</v>
      </c>
      <c r="D54" t="s">
        <v>103</v>
      </c>
    </row>
    <row r="55" spans="1:5">
      <c r="A55" t="s">
        <v>147</v>
      </c>
      <c r="B55" t="str">
        <f>[1]!relUnion($B$13,$C$2)</f>
        <v>1::Sony_x000D_2::Creative Labs_x000D_3::Hewlett Packard_x000D_4::Iomega_x000D_5::Fujitsu_x000D_6::Winchester</v>
      </c>
      <c r="C55" t="b">
        <f t="shared" si="1"/>
        <v>1</v>
      </c>
      <c r="D55" t="s">
        <v>103</v>
      </c>
    </row>
    <row r="56" spans="1:5">
      <c r="A56" t="s">
        <v>148</v>
      </c>
      <c r="B56" t="str">
        <f>[1]!relUnion("",$B$13)</f>
        <v>1::Sony_x000D_2::Creative Labs_x000D_3::Hewlett Packard_x000D_4::Iomega_x000D_5::Fujitsu_x000D_6::Winchester</v>
      </c>
      <c r="C56" t="b">
        <f t="shared" si="1"/>
        <v>1</v>
      </c>
      <c r="D56" t="s">
        <v>103</v>
      </c>
    </row>
    <row r="57" spans="1:5">
      <c r="A57" t="s">
        <v>149</v>
      </c>
      <c r="B57" t="str">
        <f>[1]!relUnion("blabla","foo")</f>
        <v>blabla_x000D_foo</v>
      </c>
      <c r="C57" t="b">
        <f t="shared" si="1"/>
        <v>1</v>
      </c>
      <c r="D57" t="s">
        <v>150</v>
      </c>
    </row>
    <row r="59" spans="1:5">
      <c r="A59" t="s">
        <v>151</v>
      </c>
      <c r="B59" t="str">
        <f>[1]!reldifference($B$13,$B$14)</f>
        <v>1::Sony_x000D_5::Fujitsu_x000D_6::Winchester</v>
      </c>
      <c r="C59" t="b">
        <f t="shared" si="1"/>
        <v>1</v>
      </c>
      <c r="D59" t="s">
        <v>158</v>
      </c>
    </row>
    <row r="60" spans="1:5">
      <c r="A60" t="s">
        <v>152</v>
      </c>
      <c r="B60" t="str">
        <f>[1]!reldifference($B$13,"10::Panasonic")</f>
        <v>1::Sony_x000D_2::Creative Labs_x000D_3::Hewlett Packard_x000D_4::Iomega_x000D_5::Fujitsu_x000D_6::Winchester</v>
      </c>
      <c r="C60" s="11" t="b">
        <v>1</v>
      </c>
      <c r="D60" t="s">
        <v>103</v>
      </c>
    </row>
    <row r="61" spans="1:5">
      <c r="A61" t="s">
        <v>153</v>
      </c>
      <c r="B61" t="str">
        <f>[1]!reldifference($B$12,$B$13)</f>
        <v>#ERROR ARITY :  3 &lt;&gt; 2</v>
      </c>
      <c r="C61" s="11" t="b">
        <v>1</v>
      </c>
      <c r="D61" t="s">
        <v>143</v>
      </c>
    </row>
    <row r="62" spans="1:5">
      <c r="A62" t="s">
        <v>154</v>
      </c>
      <c r="B62" t="str">
        <f>[1]!reldifference($B$13,"")</f>
        <v>1::Sony_x000D_2::Creative Labs_x000D_3::Hewlett Packard_x000D_4::Iomega_x000D_5::Fujitsu_x000D_6::Winchester</v>
      </c>
      <c r="C62" s="11" t="b">
        <v>1</v>
      </c>
      <c r="D62" t="s">
        <v>103</v>
      </c>
    </row>
    <row r="63" spans="1:5">
      <c r="A63" t="s">
        <v>155</v>
      </c>
      <c r="B63" t="str">
        <f>[1]!reldifference($B$13,$C$2)</f>
        <v>1::Sony_x000D_2::Creative Labs_x000D_3::Hewlett Packard_x000D_4::Iomega_x000D_5::Fujitsu_x000D_6::Winchester</v>
      </c>
      <c r="C63" s="11" t="b">
        <v>1</v>
      </c>
      <c r="D63" t="s">
        <v>103</v>
      </c>
    </row>
    <row r="64" spans="1:5">
      <c r="A64" t="s">
        <v>156</v>
      </c>
      <c r="B64" t="str">
        <f>[1]!reldifference("",$B$13)</f>
        <v/>
      </c>
      <c r="C64" s="11" t="b">
        <v>1</v>
      </c>
      <c r="D64" t="s">
        <v>159</v>
      </c>
      <c r="E64" s="2" t="s">
        <v>207</v>
      </c>
    </row>
    <row r="65" spans="1:5">
      <c r="A65" t="s">
        <v>157</v>
      </c>
      <c r="B65" t="str">
        <f>[1]!reldifference("blabla","foo")</f>
        <v>blabla</v>
      </c>
      <c r="C65" s="11" t="b">
        <v>1</v>
      </c>
      <c r="D65" t="s">
        <v>160</v>
      </c>
    </row>
    <row r="67" spans="1:5">
      <c r="A67" t="s">
        <v>180</v>
      </c>
      <c r="B67" t="str">
        <f>[1]!relJoin("true",$B$12,$B$13)</f>
        <v>1::Hard drive::240::1::Sony_x000D_1::Hard drive::240::2::Creative Labs_x000D_1::Hard drive::240::3::Hewlett Packard_x000D_1::Hard drive::240::4::Iomega_x000D_1::Hard drive::240::5::Fujitsu_x000D_1::Hard drive::240::6::Winchester_x000D_2::Memory::120::1::Sony_x000D_2::Memory::120::2::Creative Labs_x000D_2::Memory::120::3::Hewlett Packard_x000D_2::Memory::120::4::Iomega_x000D_2::Memory::120::5::Fujitsu_x000D_2::Memory::120::6::Winchester_x000D_3::ZIP drive::150::1::Sony_x000D_3::ZIP drive::150::2::Creative Labs_x000D_3::ZIP drive::150::3::Hewlett Packard_x000D_3::ZIP drive::150::4::Iomega_x000D_3::ZIP drive::150::5::Fujitsu_x000D_3::ZIP drive::150::6::Winchester_x000D_4::Floppy disk::5::1::Sony_x000D_4::Floppy disk::5::2::Creative Labs_x000D_4::Floppy disk::5::3::Hewlett Packard_x000D_4::Floppy disk::5::4::Iomega_x000D_4::Floppy disk::5::5::Fujitsu_x000D_4::Floppy disk::5::6::Winchester_x000D_5::Monitor::240::1::Sony_x000D_5::Monitor::240::2::Creative Labs_x000D_5::Monitor::240::3::Hewlett Packard_x000D_5::Monitor::240::4::Iomega_x000D_5::Monitor::240::5::Fujitsu_x000D_5::Monitor::240::6::Winchester_x000D_6::DVD drive::180::1::Sony_x000D_6::DVD drive::180::2::Creative Labs_x000D_6::DVD drive::180::3::Hewlett Packard_x000D_6::DVD drive::180::4::Iomega_x000D_6::DVD drive::180::5::Fujitsu_x000D_6::DVD drive::180::6::Winchester_x000D_7::CD drive::90::1::Sony_x000D_7::CD drive::90::2::Creative Labs_x000D_7::CD drive::90::3::Hewlett Packard_x000D_7::CD drive::90::4::Iomega_x000D_7::CD drive::90::5::Fujitsu_x000D_7::CD drive::90::6::Winchester_x000D_8::Printer::270::1::Sony_x000D_8::Printer::270::2::Creative Labs_x000D_8::Printer::270::3::Hewlett Packard_x000D_8::Printer::270::4::Iomega_x000D_8::Printer::270::5::Fujitsu_x000D_8::Printer::270::6::Winchester_x000D_9::Toner cartridge::66::1::Sony_x000D_9::Toner cartridge::66::2::Creative Labs_x000D_9::Toner cartridge::66::3::Hewlett Packard_x000D_9::Toner cartridge::66::4::Iomega_x000D_9::Toner cartridge::66::5::Fujitsu_x000D_9::Toner cartridge::66::6::Winchester_x000D_10::DVD burner::180::1::Sony_x000D_10::DVD burner::180::2::Creative Labs_x000D_10::DVD burner::180::3::Hewlett Packard_x000D_10::DVD burner::180::4::Iomega_x000D_10::DVD burner::180::5::Fujitsu_x000D_10::DVD burner::180::6::Winchester</v>
      </c>
      <c r="C67" t="b">
        <f t="shared" si="1"/>
        <v>1</v>
      </c>
      <c r="D67" t="s">
        <v>175</v>
      </c>
    </row>
    <row r="68" spans="1:5">
      <c r="A68" t="s">
        <v>181</v>
      </c>
      <c r="B68" t="str">
        <f>[1]!relJoin("true",$B$12,$B$12)</f>
        <v>1::Hard drive::240::1::Hard drive::240_x000D_1::Hard drive::240::2::Memory::120_x000D_1::Hard drive::240::3::ZIP drive::150_x000D_1::Hard drive::240::4::Floppy disk::5_x000D_1::Hard drive::240::5::Monitor::240_x000D_1::Hard drive::240::6::DVD drive::180_x000D_1::Hard drive::240::7::CD drive::90_x000D_1::Hard drive::240::8::Printer::270_x000D_1::Hard drive::240::9::Toner cartridge::66_x000D_1::Hard drive::240::10::DVD burner::180_x000D_2::Memory::120::1::Hard drive::240_x000D_2::Memory::120::2::Memory::120_x000D_2::Memory::120::3::ZIP drive::150_x000D_2::Memory::120::4::Floppy disk::5_x000D_2::Memory::120::5::Monitor::240_x000D_2::Memory::120::6::DVD drive::180_x000D_2::Memory::120::7::CD drive::90_x000D_2::Memory::120::8::Printer::270_x000D_2::Memory::120::9::Toner cartridge::66_x000D_2::Memory::120::10::DVD burner::180_x000D_3::ZIP drive::150::1::Hard drive::240_x000D_3::ZIP drive::150::2::Memory::120_x000D_3::ZIP drive::150::3::ZIP drive::150_x000D_3::ZIP drive::150::4::Floppy disk::5_x000D_3::ZIP drive::150::5::Monitor::240_x000D_3::ZIP drive::150::6::DVD drive::180_x000D_3::ZIP drive::150::7::CD drive::90_x000D_3::ZIP drive::150::8::Printer::270_x000D_3::ZIP drive::150::9::Toner cartridge::66_x000D_3::ZIP drive::150::10::DVD burner::180_x000D_4::Floppy disk::5::1::Hard drive::240_x000D_4::Floppy disk::5::2::Memory::120_x000D_4::Floppy disk::5::3::ZIP drive::150_x000D_4::Floppy disk::5::4::Floppy disk::5_x000D_4::Floppy disk::5::5::Monitor::240_x000D_4::Floppy disk::5::6::DVD drive::180_x000D_4::Floppy disk::5::7::CD drive::90_x000D_4::Floppy disk::5::8::Printer::270_x000D_4::Floppy disk::5::9::Toner cartridge::66_x000D_4::Floppy disk::5::10::DVD burner::180_x000D_5::Monitor::240::1::Hard drive::240_x000D_5::Monitor::240::2::Memory::120_x000D_5::Monitor::240::3::ZIP drive::150_x000D_5::Monitor::240::4::Floppy disk::5_x000D_5::Monitor::240::5::Monitor::240_x000D_5::Monitor::240::6::DVD drive::180_x000D_5::Monitor::240::7::CD drive::90_x000D_5::Monitor::240::8::Printer::270_x000D_5::Monitor::240::9::Toner cartridge::66_x000D_5::Monitor::240::10::DVD burner::180_x000D_6::DVD drive::180::1::Hard drive::240_x000D_6::DVD drive::180::2::Memory::120_x000D_6::DVD drive::180::3::ZIP drive::150_x000D_6::DVD drive::180::4::Floppy disk::5_x000D_6::DVD drive::180::5::Monitor::240_x000D_6::DVD drive::180::6::DVD drive::180_x000D_6::DVD drive::180::7::CD drive::90_x000D_6::DVD drive::180::8::Printer::270_x000D_6::DVD drive::180::9::Toner cartridge::66_x000D_6::DVD drive::180::10::DVD burner::180_x000D_7::CD drive::90::1::Hard drive::240_x000D_7::CD drive::90::2::Memory::120_x000D_7::CD drive::90::3::ZIP drive::150_x000D_7::CD drive::90::4::Floppy disk::5_x000D_7::CD drive::90::5::Monitor::240_x000D_7::CD drive::90::6::DVD drive::180_x000D_7::CD drive::90::7::CD drive::90_x000D_7::CD drive::90::8::Printer::270_x000D_7::CD drive::90::9::Toner cartridge::66_x000D_7::CD drive::90::10::DVD burner::180_x000D_8::Printer::270::1::Hard drive::240_x000D_8::Printer::270::2::Memory::120_x000D_8::Printer::270::3::ZIP drive::150_x000D_8::Printer::270::4::Floppy disk::5_x000D_8::Printer::270::5::Monitor::240_x000D_8::Printer::270::6::DVD drive::180_x000D_8::Printer::270::7::CD drive::90_x000D_8::Printer::270::8::Printer::270_x000D_8::Printer::270::9::Toner cartridge::66_x000D_8::Printer::270::10::DVD burner::180_x000D_9::Toner cartridge::66::1::Hard drive::240_x000D_9::Toner cartridge::66::2::Memory::120_x000D_9::Toner cartridge::66::3::ZIP drive::150_x000D_9::Toner cartridge::66::4::Floppy disk::5_x000D_9::Toner cartridge::66::5::Monitor::240_x000D_9::Toner cartridge::66::6::DVD drive::180_x000D_9::Toner cartridge::66::7::CD drive::90_x000D_9::Toner cartridge::66::8::Printer::270_x000D_9::Toner cartridge::66::9::Toner cartridge::66_x000D_9::Toner cartridge::66::10::DVD burner::180_x000D_10::DVD burner::180::1::Hard drive::240_x000D_10::DVD burner::180::2::Memory::120_x000D_10::DVD burner::180::3::ZIP drive::150_x000D_10::DVD burner::180::4::Floppy disk::5_x000D_10::DVD burner::180::5::Monitor::240_x000D_10::DVD burner::180::6::DVD drive::180_x000D_10::DVD burner::180::7::CD drive::90_x000D_10::DVD burner::180::8::Printer::270_x000D_10::DVD burner::180::9::Toner cartridge::66_x000D_10::DVD burner::180::10::DVD burner::180</v>
      </c>
      <c r="C68" t="b">
        <f t="shared" si="1"/>
        <v>1</v>
      </c>
      <c r="D68" t="s">
        <v>176</v>
      </c>
    </row>
    <row r="69" spans="1:5">
      <c r="A69" t="s">
        <v>182</v>
      </c>
      <c r="B69" t="str">
        <f>[1]!relJoin("%1=%4",$B$12,$B$13)</f>
        <v>1::Hard drive::240::1::Sony_x000D_2::Memory::120::2::Creative Labs_x000D_3::ZIP drive::150::3::Hewlett Packard_x000D_4::Floppy disk::5::4::Iomega_x000D_5::Monitor::240::5::Fujitsu_x000D_6::DVD drive::180::6::Winchester</v>
      </c>
      <c r="C69" t="b">
        <f t="shared" si="1"/>
        <v>1</v>
      </c>
      <c r="D69" t="s">
        <v>177</v>
      </c>
    </row>
    <row r="70" spans="1:5">
      <c r="A70" t="s">
        <v>183</v>
      </c>
      <c r="B70" t="str">
        <f>[1]!relJoin("$1=$4",$B$12,$B$13)</f>
        <v>1::Hard drive::240::1::Sony_x000D_2::Memory::120::2::Creative Labs_x000D_3::ZIP drive::150::3::Hewlett Packard_x000D_4::Floppy disk::5::4::Iomega_x000D_5::Monitor::240::5::Fujitsu_x000D_6::DVD drive::180::6::Winchester</v>
      </c>
      <c r="C70" t="b">
        <f t="shared" si="1"/>
        <v>1</v>
      </c>
      <c r="D70" t="s">
        <v>177</v>
      </c>
    </row>
    <row r="71" spans="1:5">
      <c r="A71" t="s">
        <v>184</v>
      </c>
      <c r="B71" t="str">
        <f>[1]!relJoin("$1=$1",$B$12,$B$12)</f>
        <v>1::Hard drive::240::1::Hard drive::240_x000D_1::Hard drive::240::2::Memory::120_x000D_1::Hard drive::240::3::ZIP drive::150_x000D_1::Hard drive::240::4::Floppy disk::5_x000D_1::Hard drive::240::5::Monitor::240_x000D_1::Hard drive::240::6::DVD drive::180_x000D_1::Hard drive::240::7::CD drive::90_x000D_1::Hard drive::240::8::Printer::270_x000D_1::Hard drive::240::9::Toner cartridge::66_x000D_1::Hard drive::240::10::DVD burner::180_x000D_2::Memory::120::1::Hard drive::240_x000D_2::Memory::120::2::Memory::120_x000D_2::Memory::120::3::ZIP drive::150_x000D_2::Memory::120::4::Floppy disk::5_x000D_2::Memory::120::5::Monitor::240_x000D_2::Memory::120::6::DVD drive::180_x000D_2::Memory::120::7::CD drive::90_x000D_2::Memory::120::8::Printer::270_x000D_2::Memory::120::9::Toner cartridge::66_x000D_2::Memory::120::10::DVD burner::180_x000D_3::ZIP drive::150::1::Hard drive::240_x000D_3::ZIP drive::150::2::Memory::120_x000D_3::ZIP drive::150::3::ZIP drive::150_x000D_3::ZIP drive::150::4::Floppy disk::5_x000D_3::ZIP drive::150::5::Monitor::240_x000D_3::ZIP drive::150::6::DVD drive::180_x000D_3::ZIP drive::150::7::CD drive::90_x000D_3::ZIP drive::150::8::Printer::270_x000D_3::ZIP drive::150::9::Toner cartridge::66_x000D_3::ZIP drive::150::10::DVD burner::180_x000D_4::Floppy disk::5::1::Hard drive::240_x000D_4::Floppy disk::5::2::Memory::120_x000D_4::Floppy disk::5::3::ZIP drive::150_x000D_4::Floppy disk::5::4::Floppy disk::5_x000D_4::Floppy disk::5::5::Monitor::240_x000D_4::Floppy disk::5::6::DVD drive::180_x000D_4::Floppy disk::5::7::CD drive::90_x000D_4::Floppy disk::5::8::Printer::270_x000D_4::Floppy disk::5::9::Toner cartridge::66_x000D_4::Floppy disk::5::10::DVD burner::180_x000D_5::Monitor::240::1::Hard drive::240_x000D_5::Monitor::240::2::Memory::120_x000D_5::Monitor::240::3::ZIP drive::150_x000D_5::Monitor::240::4::Floppy disk::5_x000D_5::Monitor::240::5::Monitor::240_x000D_5::Monitor::240::6::DVD drive::180_x000D_5::Monitor::240::7::CD drive::90_x000D_5::Monitor::240::8::Printer::270_x000D_5::Monitor::240::9::Toner cartridge::66_x000D_5::Monitor::240::10::DVD burner::180_x000D_6::DVD drive::180::1::Hard drive::240_x000D_6::DVD drive::180::2::Memory::120_x000D_6::DVD drive::180::3::ZIP drive::150_x000D_6::DVD drive::180::4::Floppy disk::5_x000D_6::DVD drive::180::5::Monitor::240_x000D_6::DVD drive::180::6::DVD drive::180_x000D_6::DVD drive::180::7::CD drive::90_x000D_6::DVD drive::180::8::Printer::270_x000D_6::DVD drive::180::9::Toner cartridge::66_x000D_6::DVD drive::180::10::DVD burner::180_x000D_7::CD drive::90::1::Hard drive::240_x000D_7::CD drive::90::2::Memory::120_x000D_7::CD drive::90::3::ZIP drive::150_x000D_7::CD drive::90::4::Floppy disk::5_x000D_7::CD drive::90::5::Monitor::240_x000D_7::CD drive::90::6::DVD drive::180_x000D_7::CD drive::90::7::CD drive::90_x000D_7::CD drive::90::8::Printer::270_x000D_7::CD drive::90::9::Toner cartridge::66_x000D_7::CD drive::90::10::DVD burner::180_x000D_8::Printer::270::1::Hard drive::240_x000D_8::Printer::270::2::Memory::120_x000D_8::Printer::270::3::ZIP drive::150_x000D_8::Printer::270::4::Floppy disk::5_x000D_8::Printer::270::5::Monitor::240_x000D_8::Printer::270::6::DVD drive::180_x000D_8::Printer::270::7::CD drive::90_x000D_8::Printer::270::8::Printer::270_x000D_8::Printer::270::9::Toner cartridge::66_x000D_8::Printer::270::10::DVD burner::180_x000D_9::Toner cartridge::66::1::Hard drive::240_x000D_9::Toner cartridge::66::2::Memory::120_x000D_9::Toner cartridge::66::3::ZIP drive::150_x000D_9::Toner cartridge::66::4::Floppy disk::5_x000D_9::Toner cartridge::66::5::Monitor::240_x000D_9::Toner cartridge::66::6::DVD drive::180_x000D_9::Toner cartridge::66::7::CD drive::90_x000D_9::Toner cartridge::66::8::Printer::270_x000D_9::Toner cartridge::66::9::Toner cartridge::66_x000D_9::Toner cartridge::66::10::DVD burner::180_x000D_10::DVD burner::180::1::Hard drive::240_x000D_10::DVD burner::180::2::Memory::120_x000D_10::DVD burner::180::3::ZIP drive::150_x000D_10::DVD burner::180::4::Floppy disk::5_x000D_10::DVD burner::180::5::Monitor::240_x000D_10::DVD burner::180::6::DVD drive::180_x000D_10::DVD burner::180::7::CD drive::90_x000D_10::DVD burner::180::8::Printer::270_x000D_10::DVD burner::180::9::Toner cartridge::66_x000D_10::DVD burner::180::10::DVD burner::180</v>
      </c>
      <c r="C71" t="b">
        <f t="shared" si="1"/>
        <v>1</v>
      </c>
      <c r="D71" t="s">
        <v>176</v>
      </c>
    </row>
    <row r="72" spans="1:5">
      <c r="A72" t="s">
        <v>185</v>
      </c>
      <c r="B72" t="str">
        <f>[1]!relJoin("true",$B$12,"")</f>
        <v/>
      </c>
      <c r="C72" t="b">
        <f t="shared" si="1"/>
        <v>1</v>
      </c>
      <c r="D72" t="s">
        <v>159</v>
      </c>
      <c r="E72" s="2" t="s">
        <v>207</v>
      </c>
    </row>
    <row r="73" spans="1:5">
      <c r="A73" t="s">
        <v>186</v>
      </c>
      <c r="B73" t="str">
        <f>[1]!relJoin("true","",$B$12)</f>
        <v/>
      </c>
      <c r="C73" t="b">
        <f t="shared" si="1"/>
        <v>1</v>
      </c>
      <c r="D73" t="s">
        <v>159</v>
      </c>
      <c r="E73" s="2" t="s">
        <v>207</v>
      </c>
    </row>
    <row r="74" spans="1:5">
      <c r="A74" t="s">
        <v>187</v>
      </c>
      <c r="B74" t="str">
        <f>[1]!relJoin("true","","")</f>
        <v/>
      </c>
      <c r="C74" t="b">
        <f t="shared" si="1"/>
        <v>1</v>
      </c>
      <c r="D74" t="s">
        <v>159</v>
      </c>
      <c r="E74" s="2" t="s">
        <v>207</v>
      </c>
    </row>
    <row r="75" spans="1:5">
      <c r="A75" t="s">
        <v>188</v>
      </c>
      <c r="B75" t="str">
        <f>[1]!relJoin("blabla",$B$12,$B$13)</f>
        <v>#ERROR CONDITION LINE  1/ 1 : =(blabla)</v>
      </c>
      <c r="C75" t="b">
        <f t="shared" si="1"/>
        <v>1</v>
      </c>
      <c r="D75" t="s">
        <v>178</v>
      </c>
    </row>
    <row r="76" spans="1:5">
      <c r="A76" t="s">
        <v>189</v>
      </c>
      <c r="B76" t="str">
        <f>[1]!relJoin("$1=$3",$B$13,$B$14)</f>
        <v>2::Creative Labs::2::Creative Labs_x000D_3::Hewlett Packard::3::Hewlett Packard_x000D_4::Iomega::4::Iomega</v>
      </c>
      <c r="C76" t="b">
        <f t="shared" si="1"/>
        <v>1</v>
      </c>
      <c r="D76" t="s">
        <v>179</v>
      </c>
    </row>
    <row r="78" spans="1:5">
      <c r="A78" t="s">
        <v>192</v>
      </c>
      <c r="B78" t="str">
        <f>[1]!relOrder("3 9::2 A",$B$12)</f>
        <v>8::Printer::270_x000D_1::Hard drive::240_x000D_5::Monitor::240_x000D_6::DVD drive::180_x000D_10::DVD burner::180_x000D_3::ZIP drive::150_x000D_2::Memory::120_x000D_7::CD drive::90_x000D_9::Toner cartridge::66_x000D_4::Floppy disk::5</v>
      </c>
      <c r="C78" t="b">
        <f t="shared" si="1"/>
        <v>1</v>
      </c>
      <c r="D78" t="s">
        <v>190</v>
      </c>
    </row>
    <row r="79" spans="1:5">
      <c r="A79" t="s">
        <v>193</v>
      </c>
      <c r="B79" t="str">
        <f>[1]!relOrder("3 9:blabla:2 A",$B$12)</f>
        <v>#ERROR MODE 9:blabla:2</v>
      </c>
      <c r="C79" t="b">
        <f t="shared" si="1"/>
        <v>1</v>
      </c>
      <c r="D79" t="s">
        <v>191</v>
      </c>
    </row>
    <row r="81" spans="1:5">
      <c r="A81" t="s">
        <v>196</v>
      </c>
      <c r="B81" t="str">
        <f>[1]!relCell($B$12,1,2)</f>
        <v>Hard drive</v>
      </c>
      <c r="C81" t="b">
        <f t="shared" si="1"/>
        <v>1</v>
      </c>
      <c r="D81" t="s">
        <v>9</v>
      </c>
    </row>
    <row r="82" spans="1:5">
      <c r="A82" t="s">
        <v>197</v>
      </c>
      <c r="B82" t="str">
        <f>[1]!relCell($B$12,2,99)</f>
        <v>#ERROR BOUNDS COLUMN:  99</v>
      </c>
      <c r="C82" t="b">
        <f t="shared" si="1"/>
        <v>1</v>
      </c>
      <c r="D82" t="s">
        <v>194</v>
      </c>
    </row>
    <row r="83" spans="1:5">
      <c r="A83" t="s">
        <v>198</v>
      </c>
      <c r="B83" t="str">
        <f>[1]!relCell($B$12,2,99,TRUE)</f>
        <v/>
      </c>
      <c r="C83" t="b">
        <f>(B83=D83)</f>
        <v>1</v>
      </c>
      <c r="D83" t="s">
        <v>159</v>
      </c>
      <c r="E83" t="s">
        <v>214</v>
      </c>
    </row>
    <row r="84" spans="1:5">
      <c r="A84" t="s">
        <v>199</v>
      </c>
      <c r="B84" t="e">
        <f>[1]!relCell($B$12,"a",2)</f>
        <v>#VALUE!</v>
      </c>
      <c r="C84" t="e">
        <f>(B84=D84)</f>
        <v>#VALUE!</v>
      </c>
      <c r="D84" t="e">
        <v>#VALUE!</v>
      </c>
      <c r="E84" s="2" t="s">
        <v>215</v>
      </c>
    </row>
    <row r="85" spans="1:5">
      <c r="A85" t="s">
        <v>200</v>
      </c>
      <c r="B85" t="str">
        <f>[1]!relCell($B$12,0,2)</f>
        <v>#ERROR BOUNDS ROW:  0</v>
      </c>
      <c r="C85" t="b">
        <f>(B85=D85)</f>
        <v>1</v>
      </c>
      <c r="D85" t="s">
        <v>195</v>
      </c>
    </row>
    <row r="86" spans="1:5">
      <c r="A86" t="s">
        <v>202</v>
      </c>
      <c r="B86" t="str">
        <f>[1]!relCell("",1,1)</f>
        <v>#ERROR BOUNDS ROW:  1</v>
      </c>
      <c r="D86" t="s">
        <v>201</v>
      </c>
    </row>
    <row r="87" spans="1:5">
      <c r="A87" t="s">
        <v>203</v>
      </c>
      <c r="B87" t="str">
        <f>[1]!relCell("1::Sony",1,2)</f>
        <v>Sony</v>
      </c>
      <c r="D87" t="s">
        <v>2</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7</vt:i4>
      </vt:variant>
    </vt:vector>
  </HeadingPairs>
  <TitlesOfParts>
    <vt:vector size="7" baseType="lpstr">
      <vt:lpstr>Presentation</vt:lpstr>
      <vt:lpstr>Computer store</vt:lpstr>
      <vt:lpstr>Employees</vt:lpstr>
      <vt:lpstr>Warehouse</vt:lpstr>
      <vt:lpstr>Pieces and Providers</vt:lpstr>
      <vt:lpstr>Acounts</vt:lpstr>
      <vt:lpstr>Unit Test</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Matthias Buercher</dc:creator>
  <cp:lastModifiedBy>Matthias Buercher</cp:lastModifiedBy>
  <dcterms:created xsi:type="dcterms:W3CDTF">2016-04-09T14:17:01Z</dcterms:created>
  <dcterms:modified xsi:type="dcterms:W3CDTF">2016-05-09T16:05:51Z</dcterms:modified>
</cp:coreProperties>
</file>