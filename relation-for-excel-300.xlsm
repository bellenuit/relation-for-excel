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DieseArbeitsmappe"/>
  <mc:AlternateContent xmlns:mc="http://schemas.openxmlformats.org/markup-compatibility/2006">
    <mc:Choice Requires="x15">
      <x15ac:absPath xmlns:x15ac="http://schemas.microsoft.com/office/spreadsheetml/2010/11/ac" url="/Users/matti/Dropbox/Programming/subtitler2.1/git/relation-for-excel/"/>
    </mc:Choice>
  </mc:AlternateContent>
  <xr:revisionPtr revIDLastSave="0" documentId="8_{409652DE-CA4D-624C-AAA1-6ED24BFB64DD}" xr6:coauthVersionLast="36" xr6:coauthVersionMax="36" xr10:uidLastSave="{00000000-0000-0000-0000-000000000000}"/>
  <bookViews>
    <workbookView xWindow="160" yWindow="540" windowWidth="27860" windowHeight="17460" tabRatio="738" activeTab="2" xr2:uid="{00000000-000D-0000-FFFF-FFFF00000000}"/>
  </bookViews>
  <sheets>
    <sheet name="Presentation" sheetId="11" r:id="rId1"/>
    <sheet name="SQL" sheetId="5" r:id="rId2"/>
    <sheet name="SQL Console" sheetId="19" r:id="rId3"/>
    <sheet name="Computer store" sheetId="12" r:id="rId4"/>
    <sheet name="Employee" sheetId="13" r:id="rId5"/>
    <sheet name="Warehouse" sheetId="14" r:id="rId6"/>
    <sheet name="Pieces and Providers" sheetId="15" r:id="rId7"/>
    <sheet name="Accounts" sheetId="16" r:id="rId8"/>
    <sheet name="Fixpoint" sheetId="17" r:id="rId9"/>
    <sheet name="Unit Test" sheetId="18" r:id="rId10"/>
    <sheet name="Employees" sheetId="10" r:id="rId11"/>
    <sheet name="Orders" sheetId="8" r:id="rId12"/>
    <sheet name="Customers" sheetId="6" r:id="rId13"/>
    <sheet name="Products" sheetId="7" r:id="rId14"/>
    <sheet name="Suppliers" sheetId="9" r:id="rId15"/>
  </sheets>
  <functionGroups builtInGroupCount="19"/>
  <definedNames>
    <definedName name="boxlist">Warehouse!$G$8:$J$18</definedName>
    <definedName name="chars">#REF!</definedName>
    <definedName name="Customers">Customers!$A$1:$G$92</definedName>
    <definedName name="departmentlist">Employee!$C$8:$E$12</definedName>
    <definedName name="employeelist">Employee!$G$8:$J$20</definedName>
    <definedName name="Employees">Employees!$A$1:$F$11</definedName>
    <definedName name="journal">Accounts!$I$6</definedName>
    <definedName name="manufacturerlist">'Computer store'!$C$8:$D$14</definedName>
    <definedName name="Orders">Orders!$A$1:$E$197</definedName>
    <definedName name="piecelist">'Pieces and Providers'!$C$8:$D$12</definedName>
    <definedName name="pieces">'Pieces and Providers'!$C$8:$D$12</definedName>
    <definedName name="productlist">'Computer store'!$F$8:$I$18</definedName>
    <definedName name="Products">Products!$A$1:$F$78</definedName>
    <definedName name="providers">'Pieces and Providers'!$K$8:$L$11</definedName>
    <definedName name="provides">'Pieces and Providers'!$G$8:$I$17</definedName>
    <definedName name="Suppliers">Suppliers!$A$1:$H$30</definedName>
    <definedName name="unit1">'Unit Test'!$E$1:$G$11</definedName>
    <definedName name="unit2">'Unit Test'!$H$1:$I$7</definedName>
    <definedName name="unit3">'Unit Test'!$J$1:$K$6</definedName>
    <definedName name="warehouselist">Warehouse!$C$8:$E$13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2" i="18" l="1"/>
  <c r="B98" i="18"/>
  <c r="F45" i="13"/>
  <c r="D60" i="12"/>
  <c r="C31" i="5"/>
  <c r="D29" i="5"/>
  <c r="D30" i="5"/>
  <c r="D25" i="5"/>
  <c r="D19" i="5"/>
  <c r="B55" i="18"/>
  <c r="C26" i="5"/>
  <c r="C21" i="5"/>
  <c r="F25" i="13"/>
  <c r="E88" i="11"/>
  <c r="B73" i="18"/>
  <c r="D5" i="5"/>
  <c r="F29" i="12"/>
  <c r="F32" i="13"/>
  <c r="B38" i="17"/>
  <c r="D46" i="12"/>
  <c r="D25" i="13"/>
  <c r="C19" i="5"/>
  <c r="D11" i="5"/>
  <c r="D45" i="13"/>
  <c r="E85" i="11"/>
  <c r="F33" i="12"/>
  <c r="D8" i="5"/>
  <c r="C30" i="5"/>
  <c r="C17" i="5"/>
  <c r="B74" i="18"/>
  <c r="C20" i="5"/>
  <c r="D14" i="5"/>
  <c r="E86" i="11"/>
  <c r="D15" i="5"/>
  <c r="F28" i="13"/>
  <c r="D28" i="15"/>
  <c r="E84" i="11"/>
  <c r="D124" i="11"/>
  <c r="B15" i="18"/>
  <c r="F26" i="12"/>
  <c r="B31" i="18"/>
  <c r="F34" i="13"/>
  <c r="E90" i="11"/>
  <c r="D16" i="5"/>
  <c r="D23" i="12"/>
  <c r="C23" i="5"/>
  <c r="D25" i="15"/>
  <c r="B17" i="18"/>
  <c r="B46" i="18"/>
  <c r="D22" i="15"/>
  <c r="B27" i="18"/>
  <c r="B83" i="18"/>
  <c r="B44" i="18"/>
  <c r="B101" i="18"/>
  <c r="B97" i="18"/>
  <c r="F60" i="12"/>
  <c r="D56" i="12"/>
  <c r="C33" i="5"/>
  <c r="D31" i="5"/>
  <c r="D23" i="5"/>
  <c r="D33" i="5"/>
  <c r="D27" i="5"/>
  <c r="D28" i="13"/>
  <c r="E91" i="11"/>
  <c r="F25" i="15"/>
  <c r="C4" i="5"/>
  <c r="E89" i="11"/>
  <c r="D42" i="12"/>
  <c r="D29" i="12"/>
  <c r="D3" i="5"/>
  <c r="B28" i="18"/>
  <c r="D122" i="11"/>
  <c r="F42" i="12"/>
  <c r="I6" i="16"/>
  <c r="F30" i="13"/>
  <c r="F37" i="13"/>
  <c r="D105" i="11"/>
  <c r="D18" i="5"/>
  <c r="F28" i="15"/>
  <c r="B81" i="18"/>
  <c r="C11" i="5"/>
  <c r="F22" i="15"/>
  <c r="B13" i="17"/>
  <c r="B17" i="17" s="1"/>
  <c r="B30" i="18"/>
  <c r="C7" i="5"/>
  <c r="D36" i="12"/>
  <c r="C18" i="5"/>
  <c r="D31" i="15"/>
  <c r="C6" i="5"/>
  <c r="E93" i="11"/>
  <c r="C25" i="5"/>
  <c r="D96" i="18"/>
  <c r="B13" i="18"/>
  <c r="B64" i="18"/>
  <c r="B33" i="18"/>
  <c r="B21" i="18"/>
  <c r="E87" i="11"/>
  <c r="B77" i="18"/>
  <c r="B20" i="18"/>
  <c r="B53" i="18"/>
  <c r="B92" i="18"/>
  <c r="B88" i="18"/>
  <c r="B15" i="17"/>
  <c r="C34" i="5"/>
  <c r="D21" i="5"/>
  <c r="D22" i="5"/>
  <c r="D34" i="5"/>
  <c r="F23" i="12"/>
  <c r="D23" i="13"/>
  <c r="D47" i="13"/>
  <c r="B48" i="18"/>
  <c r="C22" i="5"/>
  <c r="F39" i="13"/>
  <c r="B65" i="18"/>
  <c r="C29" i="5"/>
  <c r="B57" i="18"/>
  <c r="D9" i="5"/>
  <c r="B95" i="18"/>
  <c r="D30" i="13"/>
  <c r="C10" i="5"/>
  <c r="C14" i="5"/>
  <c r="D52" i="12"/>
  <c r="C15" i="5"/>
  <c r="D107" i="11"/>
  <c r="B39" i="18"/>
  <c r="B100" i="18"/>
  <c r="F49" i="13"/>
  <c r="F58" i="12"/>
  <c r="D54" i="12"/>
  <c r="C32" i="5"/>
  <c r="D32" i="5"/>
  <c r="D24" i="5"/>
  <c r="D26" i="5"/>
  <c r="D28" i="5"/>
  <c r="F23" i="13"/>
  <c r="C9" i="5"/>
  <c r="B45" i="18"/>
  <c r="B28" i="17"/>
  <c r="B14" i="18"/>
  <c r="D6" i="5"/>
  <c r="C13" i="5"/>
  <c r="B68" i="18"/>
  <c r="D7" i="5"/>
  <c r="D10" i="5"/>
  <c r="E92" i="11"/>
  <c r="D120" i="11"/>
  <c r="F52" i="12"/>
  <c r="B47" i="18"/>
  <c r="D12" i="5"/>
  <c r="C8" i="5"/>
  <c r="D58" i="12"/>
  <c r="B26" i="18"/>
  <c r="F39" i="12"/>
  <c r="I79" i="18"/>
  <c r="C27" i="5"/>
  <c r="A142" i="11"/>
  <c r="F46" i="12"/>
  <c r="B16" i="18"/>
  <c r="F41" i="15"/>
  <c r="C12" i="5"/>
  <c r="D33" i="12"/>
  <c r="C28" i="5"/>
  <c r="C16" i="5"/>
  <c r="D13" i="5"/>
  <c r="B59" i="18"/>
  <c r="B82" i="18"/>
  <c r="D109" i="11"/>
  <c r="C5" i="5"/>
  <c r="C24" i="5"/>
  <c r="D37" i="13"/>
  <c r="B52" i="18"/>
  <c r="B63" i="18"/>
  <c r="B54" i="18"/>
  <c r="B32" i="18"/>
  <c r="B50" i="18"/>
  <c r="B37" i="18"/>
  <c r="B51" i="18"/>
  <c r="B22" i="18"/>
  <c r="B84" i="18"/>
  <c r="B94" i="18"/>
  <c r="B80" i="18"/>
  <c r="D91" i="18"/>
  <c r="B89" i="18"/>
  <c r="D23" i="18"/>
  <c r="B99" i="18"/>
  <c r="F47" i="13"/>
  <c r="F56" i="12"/>
  <c r="D20" i="5"/>
  <c r="D32" i="13"/>
  <c r="B96" i="18"/>
  <c r="D17" i="5"/>
  <c r="F36" i="12"/>
  <c r="D34" i="13"/>
  <c r="D34" i="15"/>
  <c r="B18" i="18"/>
  <c r="D39" i="13"/>
  <c r="B29" i="18"/>
  <c r="D49" i="13"/>
  <c r="C3" i="5"/>
  <c r="D26" i="12"/>
  <c r="F31" i="15"/>
  <c r="D4" i="5"/>
  <c r="F34" i="15"/>
  <c r="F54" i="12"/>
  <c r="B56" i="18"/>
  <c r="D39" i="12"/>
  <c r="B61" i="18"/>
  <c r="B93" i="18"/>
  <c r="B42" i="18"/>
  <c r="B38" i="18"/>
  <c r="B43" i="18"/>
  <c r="D90" i="18"/>
  <c r="B90" i="18"/>
  <c r="B71" i="18"/>
  <c r="B34" i="18"/>
  <c r="D38" i="18"/>
  <c r="B91" i="18"/>
  <c r="B23" i="18"/>
  <c r="B36" i="18"/>
  <c r="B41" i="18"/>
  <c r="B25" i="18"/>
  <c r="B87" i="18"/>
  <c r="B40" i="18"/>
  <c r="B72" i="18"/>
  <c r="B70" i="18"/>
  <c r="B24" i="18"/>
  <c r="F43" i="13"/>
  <c r="B76" i="18"/>
  <c r="B79" i="18"/>
  <c r="B60" i="18"/>
  <c r="B85" i="18"/>
  <c r="B69" i="18"/>
  <c r="B78" i="18"/>
  <c r="B67" i="18"/>
  <c r="B62" i="18"/>
  <c r="D41" i="13"/>
  <c r="D43" i="13"/>
  <c r="D27" i="11"/>
  <c r="G27" i="11"/>
  <c r="F36" i="14"/>
  <c r="D43" i="14"/>
  <c r="F39" i="14"/>
  <c r="F21" i="14"/>
  <c r="F30" i="14"/>
  <c r="F43" i="14"/>
  <c r="D24" i="14"/>
  <c r="D27" i="14"/>
  <c r="F24" i="14"/>
  <c r="D33" i="14"/>
  <c r="F27" i="14"/>
  <c r="D36" i="14"/>
  <c r="F33" i="14"/>
  <c r="D21" i="14"/>
  <c r="D30" i="14"/>
  <c r="D39" i="14"/>
  <c r="D49" i="12"/>
  <c r="F49" i="12"/>
  <c r="P1" i="19"/>
  <c r="C17" i="19"/>
  <c r="E24" i="19"/>
  <c r="G10" i="19"/>
  <c r="G41" i="19"/>
  <c r="C50" i="19"/>
  <c r="F18" i="19"/>
  <c r="A10" i="19"/>
  <c r="B8" i="19"/>
  <c r="A20" i="19"/>
  <c r="I23" i="19"/>
  <c r="I17" i="19"/>
  <c r="B27" i="19"/>
  <c r="F38" i="19"/>
  <c r="D53" i="19"/>
  <c r="A54" i="19"/>
  <c r="H39" i="19"/>
  <c r="F25" i="19"/>
  <c r="E49" i="19"/>
  <c r="C35" i="19"/>
  <c r="B31" i="19"/>
  <c r="E46" i="19"/>
  <c r="B25" i="19"/>
  <c r="I14" i="19"/>
  <c r="I32" i="19"/>
  <c r="F26" i="19"/>
  <c r="A42" i="19"/>
  <c r="D54" i="19"/>
  <c r="G35" i="19"/>
  <c r="C40" i="19"/>
  <c r="F52" i="19"/>
  <c r="C18" i="19"/>
  <c r="H49" i="19"/>
  <c r="D32" i="19"/>
  <c r="H47" i="19"/>
  <c r="C42" i="19"/>
  <c r="G39" i="19"/>
  <c r="E54" i="19"/>
  <c r="E13" i="19"/>
  <c r="F47" i="19"/>
  <c r="G50" i="19"/>
  <c r="E14" i="19"/>
  <c r="C14" i="19"/>
  <c r="A7" i="19"/>
  <c r="F34" i="19"/>
  <c r="F22" i="19"/>
  <c r="C23" i="19"/>
  <c r="D8" i="19"/>
  <c r="F10" i="19"/>
  <c r="A12" i="19"/>
  <c r="G9" i="19"/>
  <c r="E52" i="19"/>
  <c r="E47" i="19"/>
  <c r="C33" i="19"/>
  <c r="D37" i="19"/>
  <c r="G48" i="19"/>
  <c r="E34" i="19"/>
  <c r="I40" i="19"/>
  <c r="B44" i="19"/>
  <c r="I29" i="19"/>
  <c r="C49" i="19"/>
  <c r="D39" i="19"/>
  <c r="C19" i="19"/>
  <c r="G18" i="19"/>
  <c r="D44" i="19"/>
  <c r="I28" i="19"/>
  <c r="D31" i="19"/>
  <c r="C47" i="19"/>
  <c r="F28" i="19"/>
  <c r="H50" i="19"/>
  <c r="C8" i="19"/>
  <c r="G21" i="19"/>
  <c r="A51" i="19"/>
  <c r="D45" i="19"/>
  <c r="B37" i="19"/>
  <c r="G51" i="19"/>
  <c r="F32" i="19"/>
  <c r="A26" i="19"/>
  <c r="E45" i="19"/>
  <c r="F15" i="19"/>
  <c r="E48" i="19"/>
  <c r="I31" i="19"/>
  <c r="C39" i="19"/>
  <c r="C11" i="19"/>
  <c r="I8" i="19"/>
  <c r="C41" i="19"/>
  <c r="D52" i="19"/>
  <c r="C28" i="19"/>
  <c r="I9" i="19"/>
  <c r="D51" i="19"/>
  <c r="A44" i="19"/>
  <c r="H23" i="19"/>
  <c r="A41" i="19"/>
  <c r="E42" i="19"/>
  <c r="E29" i="19"/>
  <c r="C31" i="19"/>
  <c r="I38" i="19"/>
  <c r="F12" i="19"/>
  <c r="H17" i="19"/>
  <c r="B35" i="19"/>
  <c r="E27" i="19"/>
  <c r="B17" i="19"/>
  <c r="A16" i="19"/>
  <c r="D18" i="19"/>
  <c r="D19" i="19"/>
  <c r="D9" i="19"/>
  <c r="G22" i="19"/>
  <c r="B47" i="19"/>
  <c r="G45" i="19"/>
  <c r="E31" i="19"/>
  <c r="A32" i="19"/>
  <c r="I46" i="19"/>
  <c r="G32" i="19"/>
  <c r="F35" i="19"/>
  <c r="D42" i="19"/>
  <c r="B28" i="19"/>
  <c r="F53" i="19"/>
  <c r="F37" i="19"/>
  <c r="F8" i="19"/>
  <c r="H24" i="19"/>
  <c r="H40" i="19"/>
  <c r="E51" i="19"/>
  <c r="H27" i="19"/>
  <c r="A45" i="19"/>
  <c r="I25" i="19"/>
  <c r="G43" i="19"/>
  <c r="E22" i="19"/>
  <c r="I24" i="19"/>
  <c r="F46" i="19"/>
  <c r="G34" i="19"/>
  <c r="F33" i="19"/>
  <c r="A49" i="19"/>
  <c r="D30" i="19"/>
  <c r="E32" i="19"/>
  <c r="B36" i="19"/>
  <c r="G20" i="19"/>
  <c r="H37" i="19"/>
  <c r="C54" i="19"/>
  <c r="B32" i="19"/>
  <c r="E11" i="19"/>
  <c r="G15" i="19"/>
  <c r="G37" i="19"/>
  <c r="B53" i="19"/>
  <c r="C38" i="19"/>
  <c r="A14" i="19"/>
  <c r="I48" i="19"/>
  <c r="D34" i="19"/>
  <c r="B46" i="19"/>
  <c r="G16" i="19"/>
  <c r="A27" i="19"/>
  <c r="A29" i="19"/>
  <c r="F42" i="19"/>
  <c r="F54" i="19"/>
  <c r="D7" i="19"/>
  <c r="C13" i="19"/>
  <c r="H14" i="19"/>
  <c r="H48" i="19"/>
  <c r="B41" i="19"/>
  <c r="D14" i="19"/>
  <c r="H21" i="19"/>
  <c r="D10" i="19"/>
  <c r="B23" i="19"/>
  <c r="H13" i="19"/>
  <c r="G23" i="19"/>
  <c r="F31" i="19"/>
  <c r="D40" i="19"/>
  <c r="B26" i="19"/>
  <c r="F50" i="19"/>
  <c r="F41" i="19"/>
  <c r="D27" i="19"/>
  <c r="C51" i="19"/>
  <c r="A37" i="19"/>
  <c r="A36" i="19"/>
  <c r="C48" i="19"/>
  <c r="G28" i="19"/>
  <c r="C10" i="19"/>
  <c r="B43" i="19"/>
  <c r="B30" i="19"/>
  <c r="F45" i="19"/>
  <c r="I36" i="19"/>
  <c r="I37" i="19"/>
  <c r="D47" i="19"/>
  <c r="G54" i="19"/>
  <c r="I35" i="19"/>
  <c r="I41" i="19"/>
  <c r="C16" i="19"/>
  <c r="B33" i="19"/>
  <c r="C34" i="19"/>
  <c r="I12" i="19"/>
  <c r="G17" i="19"/>
  <c r="F40" i="13"/>
  <c r="D46" i="14"/>
  <c r="F44" i="14"/>
  <c r="H36" i="11"/>
  <c r="F29" i="13"/>
  <c r="F42" i="13"/>
  <c r="F42" i="14"/>
  <c r="F32" i="14"/>
  <c r="D20" i="14"/>
  <c r="D121" i="11"/>
  <c r="D55" i="12"/>
  <c r="D51" i="12"/>
  <c r="F24" i="15"/>
  <c r="A98" i="18"/>
  <c r="D24" i="15"/>
  <c r="F32" i="12"/>
  <c r="F24" i="13"/>
  <c r="D59" i="12"/>
  <c r="A99" i="18"/>
  <c r="D58" i="11"/>
  <c r="D21" i="15"/>
  <c r="D45" i="12"/>
  <c r="F25" i="12"/>
  <c r="D27" i="15"/>
  <c r="F26" i="14"/>
  <c r="D35" i="15"/>
  <c r="F31" i="13"/>
  <c r="F38" i="12"/>
  <c r="D123" i="11"/>
  <c r="F40" i="15"/>
  <c r="A100" i="18"/>
  <c r="A97" i="18"/>
  <c r="F29" i="14"/>
  <c r="D33" i="15"/>
  <c r="D42" i="14"/>
  <c r="D119" i="11"/>
  <c r="D29" i="14"/>
  <c r="G36" i="11"/>
  <c r="F41" i="12"/>
  <c r="D53" i="12"/>
  <c r="F27" i="13"/>
  <c r="F23" i="14"/>
  <c r="F22" i="13"/>
  <c r="D36" i="11"/>
  <c r="D41" i="12"/>
  <c r="F28" i="12"/>
  <c r="A102" i="18"/>
  <c r="D55" i="11"/>
  <c r="F36" i="13"/>
  <c r="F38" i="13"/>
  <c r="F30" i="15"/>
  <c r="D38" i="14"/>
  <c r="F27" i="15"/>
  <c r="D48" i="14"/>
  <c r="F44" i="13"/>
  <c r="F20" i="14"/>
  <c r="D57" i="12"/>
  <c r="D35" i="14"/>
  <c r="A101" i="18"/>
  <c r="F21" i="15"/>
  <c r="F33" i="15"/>
  <c r="F33" i="13"/>
  <c r="D32" i="14"/>
  <c r="D30" i="15"/>
  <c r="F57" i="12"/>
  <c r="D44" i="14"/>
  <c r="B39" i="17"/>
  <c r="F48" i="13"/>
  <c r="F35" i="12"/>
  <c r="F22" i="12"/>
  <c r="F38" i="14"/>
  <c r="F46" i="13"/>
  <c r="D23" i="14"/>
  <c r="F35" i="15"/>
  <c r="F35" i="14"/>
  <c r="D26" i="14"/>
  <c r="F48" i="12"/>
  <c r="F14" i="19"/>
  <c r="B7" i="19"/>
  <c r="B19" i="19"/>
  <c r="B22" i="19"/>
  <c r="D23" i="19"/>
  <c r="I26" i="19"/>
  <c r="C29" i="19"/>
  <c r="E43" i="19"/>
  <c r="I51" i="19"/>
  <c r="E40" i="19"/>
  <c r="G11" i="19"/>
  <c r="H15" i="19"/>
  <c r="H22" i="19"/>
  <c r="I22" i="19"/>
  <c r="E16" i="19"/>
  <c r="E19" i="19"/>
  <c r="C15" i="19"/>
  <c r="A18" i="19"/>
  <c r="E23" i="19"/>
  <c r="D38" i="19"/>
  <c r="H31" i="19"/>
  <c r="A46" i="19"/>
  <c r="H29" i="19"/>
  <c r="F30" i="19"/>
  <c r="H44" i="19"/>
  <c r="E44" i="19"/>
  <c r="H19" i="19"/>
  <c r="E12" i="19"/>
  <c r="F24" i="19"/>
  <c r="C30" i="19"/>
  <c r="D46" i="19"/>
  <c r="I50" i="19"/>
  <c r="E35" i="19"/>
  <c r="B50" i="19"/>
  <c r="H8" i="19"/>
  <c r="H18" i="19"/>
  <c r="D22" i="19"/>
  <c r="A19" i="19"/>
  <c r="D50" i="19"/>
  <c r="E41" i="19"/>
  <c r="G36" i="19"/>
  <c r="E25" i="19"/>
  <c r="H34" i="19"/>
  <c r="F44" i="19"/>
  <c r="I53" i="19"/>
  <c r="E26" i="19"/>
  <c r="G40" i="19"/>
  <c r="I54" i="19"/>
  <c r="C25" i="19"/>
  <c r="E39" i="19"/>
  <c r="D29" i="19"/>
  <c r="H20" i="19"/>
  <c r="H9" i="19"/>
  <c r="C21" i="19"/>
  <c r="I33" i="19"/>
  <c r="C27" i="19"/>
  <c r="F39" i="19"/>
  <c r="D25" i="19"/>
  <c r="H30" i="19"/>
  <c r="B40" i="19"/>
  <c r="I49" i="19"/>
  <c r="F43" i="19"/>
  <c r="I34" i="19"/>
  <c r="B49" i="19"/>
  <c r="G38" i="19"/>
  <c r="G33" i="19"/>
  <c r="I47" i="19"/>
  <c r="H53" i="19"/>
  <c r="H10" i="19"/>
  <c r="E20" i="19"/>
  <c r="C9" i="19"/>
  <c r="C32" i="19"/>
  <c r="I42" i="19"/>
  <c r="A50" i="19"/>
  <c r="C53" i="19"/>
  <c r="D41" i="19"/>
  <c r="G31" i="19"/>
  <c r="H38" i="19"/>
  <c r="I45" i="19"/>
  <c r="A53" i="19"/>
  <c r="C46" i="19"/>
  <c r="B29" i="19"/>
  <c r="C36" i="19"/>
  <c r="D43" i="19"/>
  <c r="E50" i="19"/>
  <c r="B54" i="19"/>
  <c r="G42" i="19"/>
  <c r="I27" i="19"/>
  <c r="A35" i="19"/>
  <c r="B42" i="19"/>
  <c r="G49" i="19"/>
  <c r="E36" i="19"/>
  <c r="G7" i="19"/>
  <c r="H11" i="19"/>
  <c r="I15" i="19"/>
  <c r="I18" i="19"/>
  <c r="B15" i="19"/>
  <c r="E21" i="19"/>
  <c r="B14" i="19"/>
  <c r="A13" i="19"/>
  <c r="D15" i="19"/>
  <c r="B18" i="19"/>
  <c r="E7" i="19"/>
  <c r="B11" i="19"/>
  <c r="D21" i="19"/>
  <c r="B21" i="19"/>
  <c r="A9" i="19"/>
  <c r="B20" i="19"/>
  <c r="B10" i="19"/>
  <c r="D11" i="19"/>
  <c r="E30" i="19"/>
  <c r="A52" i="19"/>
  <c r="A31" i="19"/>
  <c r="B38" i="19"/>
  <c r="C45" i="19"/>
  <c r="H25" i="19"/>
  <c r="H45" i="19"/>
  <c r="H16" i="19"/>
  <c r="I20" i="19"/>
  <c r="I19" i="19"/>
  <c r="E8" i="19"/>
  <c r="F19" i="19"/>
  <c r="E18" i="19"/>
  <c r="A23" i="19"/>
  <c r="E17" i="19"/>
  <c r="C24" i="19"/>
  <c r="F9" i="19"/>
  <c r="A21" i="19"/>
  <c r="A8" i="19"/>
  <c r="F17" i="19"/>
  <c r="A17" i="19"/>
  <c r="B9" i="19"/>
  <c r="G46" i="19"/>
  <c r="D36" i="19"/>
  <c r="B24" i="19"/>
  <c r="B48" i="19"/>
  <c r="D35" i="19"/>
  <c r="F49" i="19"/>
  <c r="A40" i="19"/>
  <c r="B34" i="19"/>
  <c r="D48" i="19"/>
  <c r="C26" i="19"/>
  <c r="I11" i="19"/>
  <c r="F23" i="19"/>
  <c r="E15" i="19"/>
  <c r="A25" i="19"/>
  <c r="E53" i="19"/>
  <c r="D33" i="19"/>
  <c r="A39" i="19"/>
  <c r="E28" i="19"/>
  <c r="G19" i="19"/>
  <c r="G8" i="19"/>
  <c r="A15" i="19"/>
  <c r="H26" i="19"/>
  <c r="I44" i="19"/>
  <c r="F48" i="19"/>
  <c r="H43" i="19"/>
  <c r="G27" i="19"/>
  <c r="E37" i="19"/>
  <c r="H46" i="19"/>
  <c r="H33" i="19"/>
  <c r="A30" i="19"/>
  <c r="C44" i="19"/>
  <c r="G26" i="19"/>
  <c r="H28" i="19"/>
  <c r="A43" i="19"/>
  <c r="B39" i="19"/>
  <c r="G14" i="19"/>
  <c r="I10" i="19"/>
  <c r="F16" i="19"/>
  <c r="C43" i="19"/>
  <c r="F36" i="19"/>
  <c r="F29" i="19"/>
  <c r="D28" i="19"/>
  <c r="A33" i="19"/>
  <c r="H42" i="19"/>
  <c r="B52" i="19"/>
  <c r="I52" i="19"/>
  <c r="E38" i="19"/>
  <c r="G52" i="19"/>
  <c r="D49" i="19"/>
  <c r="C37" i="19"/>
  <c r="G53" i="19"/>
  <c r="I13" i="19"/>
  <c r="G13" i="19"/>
  <c r="C20" i="19"/>
  <c r="E10" i="19"/>
  <c r="H35" i="19"/>
  <c r="G44" i="19"/>
  <c r="H51" i="19"/>
  <c r="F27" i="19"/>
  <c r="D26" i="19"/>
  <c r="E33" i="19"/>
  <c r="F40" i="19"/>
  <c r="G47" i="19"/>
  <c r="H54" i="19"/>
  <c r="F51" i="19"/>
  <c r="I30" i="19"/>
  <c r="A38" i="19"/>
  <c r="B45" i="19"/>
  <c r="C52" i="19"/>
  <c r="A28" i="19"/>
  <c r="A48" i="19"/>
  <c r="G29" i="19"/>
  <c r="H36" i="19"/>
  <c r="I43" i="19"/>
  <c r="H52" i="19"/>
  <c r="H41" i="19"/>
  <c r="H12" i="19"/>
  <c r="I16" i="19"/>
  <c r="H7" i="19"/>
  <c r="G24" i="19"/>
  <c r="D17" i="19"/>
  <c r="B13" i="19"/>
  <c r="D20" i="19"/>
  <c r="B16" i="19"/>
  <c r="F21" i="19"/>
  <c r="D24" i="19"/>
  <c r="F7" i="19"/>
  <c r="D13" i="19"/>
  <c r="A24" i="19"/>
  <c r="D12" i="19"/>
  <c r="B12" i="19"/>
  <c r="F13" i="19"/>
  <c r="D16" i="19"/>
  <c r="C7" i="19"/>
  <c r="A34" i="19"/>
  <c r="G25" i="19"/>
  <c r="H32" i="19"/>
  <c r="I39" i="19"/>
  <c r="A47" i="19"/>
  <c r="G30" i="19"/>
  <c r="B51" i="19"/>
  <c r="I21" i="19"/>
  <c r="I7" i="19"/>
  <c r="G12" i="19"/>
  <c r="F11" i="19"/>
  <c r="C22" i="19"/>
  <c r="A22" i="19"/>
  <c r="E9" i="19"/>
  <c r="F20" i="19"/>
  <c r="A11" i="19"/>
  <c r="C12" i="19"/>
  <c r="C101" i="18" l="1"/>
  <c r="C102" i="18"/>
  <c r="C99" i="18"/>
  <c r="C100" i="18"/>
  <c r="C97" i="18"/>
  <c r="C98" i="18"/>
  <c r="E83" i="11"/>
  <c r="F41" i="13"/>
  <c r="B30" i="17"/>
  <c r="F36" i="15"/>
  <c r="B40" i="17"/>
  <c r="I7" i="16"/>
  <c r="D36" i="15"/>
  <c r="I8" i="16"/>
  <c r="I9" i="16"/>
  <c r="D32" i="11"/>
  <c r="D159" i="11"/>
  <c r="D37" i="11"/>
  <c r="D157" i="11"/>
  <c r="D161" i="11"/>
  <c r="D163" i="11"/>
  <c r="H59" i="11"/>
  <c r="G37" i="11"/>
  <c r="G41" i="11" s="1"/>
  <c r="D95" i="11"/>
  <c r="D59" i="11"/>
  <c r="D67" i="11"/>
  <c r="G67" i="11"/>
  <c r="G32" i="11"/>
  <c r="G77" i="11"/>
  <c r="I59" i="11"/>
  <c r="G159" i="11"/>
  <c r="D77" i="11"/>
  <c r="G48" i="11"/>
  <c r="D73" i="11"/>
  <c r="E77" i="11"/>
  <c r="G157" i="11"/>
  <c r="F45" i="14"/>
  <c r="D45" i="14"/>
  <c r="A37" i="18"/>
  <c r="G51" i="11"/>
  <c r="D46" i="13"/>
  <c r="A57" i="18"/>
  <c r="A23" i="18"/>
  <c r="A25" i="18"/>
  <c r="A16" i="18"/>
  <c r="F53" i="12"/>
  <c r="G58" i="11"/>
  <c r="A74" i="18"/>
  <c r="D94" i="11"/>
  <c r="B27" i="17"/>
  <c r="A63" i="18"/>
  <c r="A96" i="18"/>
  <c r="D104" i="11"/>
  <c r="D22" i="12"/>
  <c r="A44" i="18"/>
  <c r="A51" i="18"/>
  <c r="A71" i="18"/>
  <c r="D72" i="11"/>
  <c r="A45" i="18"/>
  <c r="F59" i="12"/>
  <c r="F51" i="12"/>
  <c r="A43" i="18"/>
  <c r="A18" i="18"/>
  <c r="A80" i="18"/>
  <c r="A64" i="18"/>
  <c r="D158" i="11"/>
  <c r="D29" i="13"/>
  <c r="A70" i="18"/>
  <c r="G26" i="11"/>
  <c r="E76" i="11"/>
  <c r="A87" i="18"/>
  <c r="A34" i="18"/>
  <c r="A81" i="18"/>
  <c r="D26" i="11"/>
  <c r="G156" i="11"/>
  <c r="H58" i="11"/>
  <c r="A83" i="18"/>
  <c r="A14" i="18"/>
  <c r="A20" i="18"/>
  <c r="D44" i="11"/>
  <c r="D51" i="11"/>
  <c r="D162" i="11"/>
  <c r="A85" i="18"/>
  <c r="A60" i="18"/>
  <c r="A92" i="18"/>
  <c r="A39" i="18"/>
  <c r="D48" i="12"/>
  <c r="A55" i="18"/>
  <c r="A46" i="18"/>
  <c r="A50" i="18"/>
  <c r="A93" i="18"/>
  <c r="B29" i="17"/>
  <c r="A73" i="18"/>
  <c r="A68" i="18"/>
  <c r="D38" i="13"/>
  <c r="G76" i="11"/>
  <c r="A22" i="18"/>
  <c r="I58" i="11"/>
  <c r="D156" i="11"/>
  <c r="A42" i="18"/>
  <c r="G31" i="11"/>
  <c r="A77" i="18"/>
  <c r="D47" i="11"/>
  <c r="D160" i="11"/>
  <c r="F55" i="12"/>
  <c r="A88" i="18"/>
  <c r="D76" i="11"/>
  <c r="D25" i="12"/>
  <c r="A31" i="18"/>
  <c r="A26" i="18"/>
  <c r="D106" i="11"/>
  <c r="A56" i="18"/>
  <c r="D31" i="11"/>
  <c r="D24" i="13"/>
  <c r="A24" i="18"/>
  <c r="D22" i="13"/>
  <c r="D33" i="13"/>
  <c r="G40" i="11"/>
  <c r="D31" i="13"/>
  <c r="A94" i="18"/>
  <c r="G158" i="11"/>
  <c r="G44" i="11"/>
  <c r="A33" i="18"/>
  <c r="A62" i="18"/>
  <c r="B14" i="17"/>
  <c r="A69" i="18"/>
  <c r="A72" i="18"/>
  <c r="A67" i="18"/>
  <c r="B12" i="17"/>
  <c r="A47" i="18"/>
  <c r="A32" i="18"/>
  <c r="D32" i="12"/>
  <c r="B16" i="17"/>
  <c r="D66" i="11"/>
  <c r="A54" i="18"/>
  <c r="A38" i="18"/>
  <c r="A95" i="18"/>
  <c r="A48" i="18"/>
  <c r="B37" i="17"/>
  <c r="A28" i="18"/>
  <c r="A84" i="18"/>
  <c r="A76" i="18"/>
  <c r="G47" i="11"/>
  <c r="D108" i="11"/>
  <c r="A27" i="18"/>
  <c r="G160" i="11"/>
  <c r="D48" i="13"/>
  <c r="A17" i="18"/>
  <c r="A65" i="18"/>
  <c r="A15" i="18"/>
  <c r="D42" i="13"/>
  <c r="D40" i="11"/>
  <c r="D27" i="13"/>
  <c r="D38" i="12"/>
  <c r="D36" i="13"/>
  <c r="A89" i="18"/>
  <c r="A91" i="18"/>
  <c r="A90" i="18"/>
  <c r="A40" i="18"/>
  <c r="D28" i="12"/>
  <c r="A53" i="18"/>
  <c r="A41" i="18"/>
  <c r="D99" i="11"/>
  <c r="F45" i="12"/>
  <c r="A21" i="18"/>
  <c r="A61" i="18"/>
  <c r="A36" i="18"/>
  <c r="A59" i="18"/>
  <c r="G66" i="11"/>
  <c r="A78" i="18"/>
  <c r="D35" i="12"/>
  <c r="D44" i="13"/>
  <c r="D40" i="13"/>
  <c r="A29" i="18"/>
  <c r="A13" i="18"/>
  <c r="A19" i="18"/>
  <c r="A30" i="18"/>
  <c r="A79" i="18"/>
  <c r="G162" i="11"/>
  <c r="A52" i="18"/>
  <c r="A82" i="18"/>
  <c r="C37" i="18" l="1"/>
  <c r="C54" i="18"/>
  <c r="C63" i="18"/>
  <c r="C72" i="18"/>
  <c r="C87" i="18"/>
  <c r="C20" i="18"/>
  <c r="C57" i="18"/>
  <c r="C67" i="18"/>
  <c r="C81" i="18"/>
  <c r="C90" i="18"/>
  <c r="C92" i="18"/>
  <c r="C25" i="18"/>
  <c r="C40" i="18"/>
  <c r="C84" i="18"/>
  <c r="C26" i="18"/>
  <c r="C38" i="18"/>
  <c r="C46" i="18"/>
  <c r="C55" i="18"/>
  <c r="C64" i="18"/>
  <c r="C73" i="18"/>
  <c r="C88" i="18"/>
  <c r="C45" i="18"/>
  <c r="C48" i="18"/>
  <c r="C76" i="18"/>
  <c r="C79" i="18"/>
  <c r="C15" i="18"/>
  <c r="C21" i="18"/>
  <c r="C29" i="18"/>
  <c r="C32" i="18"/>
  <c r="C41" i="18"/>
  <c r="C50" i="18"/>
  <c r="C59" i="18"/>
  <c r="C68" i="18"/>
  <c r="C77" i="18"/>
  <c r="C82" i="18"/>
  <c r="C93" i="18"/>
  <c r="C28" i="18"/>
  <c r="C18" i="18"/>
  <c r="C24" i="18"/>
  <c r="C36" i="18"/>
  <c r="C44" i="18"/>
  <c r="C53" i="18"/>
  <c r="C62" i="18"/>
  <c r="C71" i="18"/>
  <c r="C85" i="18"/>
  <c r="C91" i="18"/>
  <c r="C96" i="18"/>
  <c r="C31" i="18"/>
  <c r="C23" i="18"/>
  <c r="C43" i="18"/>
  <c r="C61" i="18"/>
  <c r="C27" i="18"/>
  <c r="C39" i="18"/>
  <c r="C47" i="18"/>
  <c r="C56" i="18"/>
  <c r="C65" i="18"/>
  <c r="C74" i="18"/>
  <c r="C80" i="18"/>
  <c r="C89" i="18"/>
  <c r="C14" i="18"/>
  <c r="C17" i="18"/>
  <c r="C34" i="18"/>
  <c r="C52" i="18"/>
  <c r="C70" i="18"/>
  <c r="C95" i="18"/>
  <c r="C13" i="18"/>
  <c r="C16" i="18"/>
  <c r="C22" i="18"/>
  <c r="C33" i="18"/>
  <c r="C42" i="18"/>
  <c r="C51" i="18"/>
  <c r="C60" i="18"/>
  <c r="C69" i="18"/>
  <c r="C78" i="18"/>
  <c r="C83" i="18"/>
  <c r="C94" i="18"/>
  <c r="B10" i="5"/>
  <c r="B3" i="5"/>
  <c r="B11" i="5"/>
  <c r="B14" i="5"/>
  <c r="B15" i="5"/>
  <c r="B28" i="5"/>
  <c r="B13" i="5"/>
  <c r="B22" i="5"/>
  <c r="B29" i="5"/>
  <c r="B33" i="5"/>
  <c r="B20" i="5"/>
  <c r="B23" i="5"/>
  <c r="I10" i="16"/>
  <c r="I11" i="16" s="1"/>
  <c r="I15" i="16" s="1"/>
  <c r="B19" i="5"/>
  <c r="B9" i="5"/>
  <c r="B32" i="5"/>
  <c r="B25" i="5"/>
  <c r="B17" i="5"/>
  <c r="B4" i="5"/>
  <c r="B6" i="5"/>
  <c r="B5" i="5"/>
  <c r="I12" i="16"/>
  <c r="B34" i="5"/>
  <c r="B31" i="5"/>
  <c r="B24" i="5"/>
  <c r="B21" i="5"/>
  <c r="I14" i="16"/>
  <c r="B30" i="5"/>
  <c r="B18" i="5"/>
  <c r="B16" i="5"/>
  <c r="B27" i="5"/>
  <c r="B7" i="5"/>
  <c r="B8" i="5"/>
  <c r="B26" i="5"/>
  <c r="B12" i="5"/>
  <c r="I13" i="16"/>
  <c r="D41" i="11"/>
  <c r="H37" i="11"/>
  <c r="G59" i="11"/>
  <c r="G163" i="11"/>
  <c r="G45" i="11"/>
  <c r="G52" i="11"/>
  <c r="D48" i="11"/>
  <c r="G161" i="11" s="1"/>
  <c r="D45" i="11"/>
  <c r="D47" i="14"/>
  <c r="D49" i="14"/>
  <c r="I18" i="16" l="1"/>
  <c r="I19" i="16"/>
  <c r="I17" i="16"/>
  <c r="I16" i="16"/>
  <c r="D52" i="11"/>
  <c r="D100" i="11"/>
  <c r="I20" i="16" l="1"/>
  <c r="I22" i="16"/>
  <c r="I23" i="16"/>
  <c r="I21" i="16"/>
  <c r="I3" i="16"/>
  <c r="D56" i="11"/>
</calcChain>
</file>

<file path=xl/sharedStrings.xml><?xml version="1.0" encoding="utf-8"?>
<sst xmlns="http://schemas.openxmlformats.org/spreadsheetml/2006/main" count="1525" uniqueCount="1217">
  <si>
    <t>CustomerID</t>
  </si>
  <si>
    <t>CustomerName</t>
  </si>
  <si>
    <t>ContactName</t>
  </si>
  <si>
    <t>Address</t>
  </si>
  <si>
    <t>City</t>
  </si>
  <si>
    <t>PostalCode</t>
  </si>
  <si>
    <t>Country</t>
  </si>
  <si>
    <t>Alfreds Futterkiste</t>
  </si>
  <si>
    <t>Maria Anders</t>
  </si>
  <si>
    <t>Obere Str. 57</t>
  </si>
  <si>
    <t>Berlin</t>
  </si>
  <si>
    <t>Germany</t>
  </si>
  <si>
    <t>Ana Trujillo Emparedados y helados</t>
  </si>
  <si>
    <t>Ana Trujillo</t>
  </si>
  <si>
    <t>Avda. de la Constitución 2222</t>
  </si>
  <si>
    <t>México D.F.</t>
  </si>
  <si>
    <t>Mexico</t>
  </si>
  <si>
    <t>Antonio Moreno Taquería</t>
  </si>
  <si>
    <t>Antonio Moreno</t>
  </si>
  <si>
    <t>Mataderos 2312</t>
  </si>
  <si>
    <t>Around the Horn</t>
  </si>
  <si>
    <t>Thomas Hardy</t>
  </si>
  <si>
    <t>120 Hanover Sq.</t>
  </si>
  <si>
    <t>London</t>
  </si>
  <si>
    <t>WA1 1DP</t>
  </si>
  <si>
    <t>UK</t>
  </si>
  <si>
    <t>Berglunds snabbköp</t>
  </si>
  <si>
    <t>Christina Berglund</t>
  </si>
  <si>
    <t>Berguvsvägen 8</t>
  </si>
  <si>
    <t>Luleå</t>
  </si>
  <si>
    <t>S-958 22</t>
  </si>
  <si>
    <t>Sweden</t>
  </si>
  <si>
    <t>Blauer See Delikatessen</t>
  </si>
  <si>
    <t>Hanna Moos</t>
  </si>
  <si>
    <t>Forsterstr. 57</t>
  </si>
  <si>
    <t>Mannheim</t>
  </si>
  <si>
    <t>Blondel père et fils</t>
  </si>
  <si>
    <t>Frédérique Citeaux</t>
  </si>
  <si>
    <t>24, place Kléber</t>
  </si>
  <si>
    <t>Strasbourg</t>
  </si>
  <si>
    <t>France</t>
  </si>
  <si>
    <t>Bólido Comidas preparadas</t>
  </si>
  <si>
    <t>Martín Sommer</t>
  </si>
  <si>
    <t>C/ Araquil, 67</t>
  </si>
  <si>
    <t>Madrid</t>
  </si>
  <si>
    <t>Spain</t>
  </si>
  <si>
    <t>Bon app'</t>
  </si>
  <si>
    <t>Laurence Lebihans</t>
  </si>
  <si>
    <t>12, rue des Bouchers</t>
  </si>
  <si>
    <t>Marseille</t>
  </si>
  <si>
    <t>Bottom-Dollar Marketse</t>
  </si>
  <si>
    <t>Elizabeth Lincoln</t>
  </si>
  <si>
    <t>23 Tsawassen Blvd.</t>
  </si>
  <si>
    <t>Tsawassen</t>
  </si>
  <si>
    <t>T2F 8M4</t>
  </si>
  <si>
    <t>Canada</t>
  </si>
  <si>
    <t>B's Beverages</t>
  </si>
  <si>
    <t>Victoria Ashworth</t>
  </si>
  <si>
    <t>Fauntleroy Circus</t>
  </si>
  <si>
    <t>EC2 5NT</t>
  </si>
  <si>
    <t>Cactus Comidas para llevar</t>
  </si>
  <si>
    <t>Patricio Simpson</t>
  </si>
  <si>
    <t>Cerrito 333</t>
  </si>
  <si>
    <t>Buenos Aires</t>
  </si>
  <si>
    <t>Argentina</t>
  </si>
  <si>
    <t>Centro comercial Moctezuma</t>
  </si>
  <si>
    <t>Francisco Chang</t>
  </si>
  <si>
    <t>Sierras de Granada 9993</t>
  </si>
  <si>
    <t>Chop-suey Chinese</t>
  </si>
  <si>
    <t>Yang Wang</t>
  </si>
  <si>
    <t>Hauptstr. 29</t>
  </si>
  <si>
    <t>Bern</t>
  </si>
  <si>
    <t>Switzerland</t>
  </si>
  <si>
    <t>Comércio Mineiro</t>
  </si>
  <si>
    <t>Pedro Afonso</t>
  </si>
  <si>
    <t>Av. dos Lusíadas, 23</t>
  </si>
  <si>
    <t>São Paulo</t>
  </si>
  <si>
    <t>05432-043</t>
  </si>
  <si>
    <t>Brazil</t>
  </si>
  <si>
    <t>Consolidated Holdings</t>
  </si>
  <si>
    <t>Elizabeth Brown</t>
  </si>
  <si>
    <t>Berkeley Gardens 12 Brewery</t>
  </si>
  <si>
    <t>WX1 6LT</t>
  </si>
  <si>
    <t>Drachenblut Delikatessend</t>
  </si>
  <si>
    <t>Sven Ottlieb</t>
  </si>
  <si>
    <t>Walserweg 21</t>
  </si>
  <si>
    <t>Aachen</t>
  </si>
  <si>
    <t>Du monde entier</t>
  </si>
  <si>
    <t>Janine Labrune</t>
  </si>
  <si>
    <t>67, rue des Cinquante Otages</t>
  </si>
  <si>
    <t>Nantes</t>
  </si>
  <si>
    <t>Eastern Connection</t>
  </si>
  <si>
    <t>Ann Devon</t>
  </si>
  <si>
    <t>35 King George</t>
  </si>
  <si>
    <t>WX3 6FW</t>
  </si>
  <si>
    <t>Ernst Handel</t>
  </si>
  <si>
    <t>Roland Mendel</t>
  </si>
  <si>
    <t>Kirchgasse 6</t>
  </si>
  <si>
    <t>Graz</t>
  </si>
  <si>
    <t>Austria</t>
  </si>
  <si>
    <t>Familia Arquibaldo</t>
  </si>
  <si>
    <t>Aria Cruz</t>
  </si>
  <si>
    <t>Rua Orós, 92</t>
  </si>
  <si>
    <t>05442-030</t>
  </si>
  <si>
    <t>FISSA Fabrica Inter. Salchichas S.A.</t>
  </si>
  <si>
    <t>Diego Roel</t>
  </si>
  <si>
    <t>C/ Moralzarzal, 86</t>
  </si>
  <si>
    <t>Folies gourmandes</t>
  </si>
  <si>
    <t>Martine Rancé</t>
  </si>
  <si>
    <t>184, chaussée de Tournai</t>
  </si>
  <si>
    <t>Lille</t>
  </si>
  <si>
    <t>Folk och fä HB</t>
  </si>
  <si>
    <t>Maria Larsson</t>
  </si>
  <si>
    <t>Åkergatan 24</t>
  </si>
  <si>
    <t>Bräcke</t>
  </si>
  <si>
    <t>S-844 67</t>
  </si>
  <si>
    <t>Frankenversand</t>
  </si>
  <si>
    <t>Peter Franken</t>
  </si>
  <si>
    <t>Berliner Platz 43</t>
  </si>
  <si>
    <t>München</t>
  </si>
  <si>
    <t>France restauration</t>
  </si>
  <si>
    <t>Carine Schmitt</t>
  </si>
  <si>
    <t>54, rue Royale</t>
  </si>
  <si>
    <t>Franchi S.p.A.</t>
  </si>
  <si>
    <t>Paolo Accorti</t>
  </si>
  <si>
    <t>Via Monte Bianco 34</t>
  </si>
  <si>
    <t>Torino</t>
  </si>
  <si>
    <t>Italy</t>
  </si>
  <si>
    <t>Furia Bacalhau e Frutos do Mar</t>
  </si>
  <si>
    <t>Lino Rodriguez</t>
  </si>
  <si>
    <t>Jardim das rosas n. 32</t>
  </si>
  <si>
    <t>Lisboa</t>
  </si>
  <si>
    <t>Portugal</t>
  </si>
  <si>
    <t>Galería del gastrónomo</t>
  </si>
  <si>
    <t>Eduardo Saavedra</t>
  </si>
  <si>
    <t>Rambla de Cataluña, 23</t>
  </si>
  <si>
    <t>Barcelona</t>
  </si>
  <si>
    <t>Godos Cocina Típica</t>
  </si>
  <si>
    <t>José Pedro Freyre</t>
  </si>
  <si>
    <t>C/ Romero, 33</t>
  </si>
  <si>
    <t>Sevilla</t>
  </si>
  <si>
    <t>Gourmet Lanchonetes</t>
  </si>
  <si>
    <t>André Fonseca</t>
  </si>
  <si>
    <t>Av. Brasil, 442</t>
  </si>
  <si>
    <t>Campinas</t>
  </si>
  <si>
    <t>04876-786</t>
  </si>
  <si>
    <t>Great Lakes Food Market</t>
  </si>
  <si>
    <t>Howard Snyder</t>
  </si>
  <si>
    <t>2732 Baker Blvd.</t>
  </si>
  <si>
    <t>Eugene</t>
  </si>
  <si>
    <t>USA</t>
  </si>
  <si>
    <t>GROSELLA-Restaurante</t>
  </si>
  <si>
    <t>Manuel Pereira</t>
  </si>
  <si>
    <t>5ª Ave. Los Palos Grandes</t>
  </si>
  <si>
    <t>Caracas</t>
  </si>
  <si>
    <t>Venezuela</t>
  </si>
  <si>
    <t>Hanari Carnes</t>
  </si>
  <si>
    <t>Mario Pontes</t>
  </si>
  <si>
    <t>Rua do Paço, 67</t>
  </si>
  <si>
    <t>Rio de Janeiro</t>
  </si>
  <si>
    <t>05454-876</t>
  </si>
  <si>
    <t>HILARIÓN-Abastos</t>
  </si>
  <si>
    <t>Carlos Hernández</t>
  </si>
  <si>
    <t>Carrera 22 con Ave. Carlos Soublette #8-35</t>
  </si>
  <si>
    <t>San Cristóbal</t>
  </si>
  <si>
    <t>Hungry Coyote Import Store</t>
  </si>
  <si>
    <t>Yoshi Latimer</t>
  </si>
  <si>
    <t>City Center Plaza 516 Main St.</t>
  </si>
  <si>
    <t>Elgin</t>
  </si>
  <si>
    <t>Hungry Owl All-Night Grocers</t>
  </si>
  <si>
    <t>Patricia McKenna</t>
  </si>
  <si>
    <t>8 Johnstown Road</t>
  </si>
  <si>
    <t>Cork</t>
  </si>
  <si>
    <t>Ireland</t>
  </si>
  <si>
    <t>Island Trading</t>
  </si>
  <si>
    <t>Helen Bennett</t>
  </si>
  <si>
    <t>Garden House Crowther Way</t>
  </si>
  <si>
    <t>Cowes</t>
  </si>
  <si>
    <t>PO31 7PJ</t>
  </si>
  <si>
    <t>Königlich Essen</t>
  </si>
  <si>
    <t>Philip Cramer</t>
  </si>
  <si>
    <t>Maubelstr. 90</t>
  </si>
  <si>
    <t>Brandenburg</t>
  </si>
  <si>
    <t>La corne d'abondance</t>
  </si>
  <si>
    <t>Daniel Tonini</t>
  </si>
  <si>
    <t>67, avenue de l'Europe</t>
  </si>
  <si>
    <t>Versailles</t>
  </si>
  <si>
    <t>La maison d'Asie</t>
  </si>
  <si>
    <t>Annette Roulet</t>
  </si>
  <si>
    <t>1 rue Alsace-Lorraine</t>
  </si>
  <si>
    <t>Toulouse</t>
  </si>
  <si>
    <t>Laughing Bacchus Wine Cellars</t>
  </si>
  <si>
    <t>Yoshi Tannamuri</t>
  </si>
  <si>
    <t>1900 Oak St.</t>
  </si>
  <si>
    <t>Vancouver</t>
  </si>
  <si>
    <t>V3F 2K1</t>
  </si>
  <si>
    <t>Lazy K Kountry Store</t>
  </si>
  <si>
    <t>John Steel</t>
  </si>
  <si>
    <t>12 Orchestra Terrace</t>
  </si>
  <si>
    <t>Walla Walla</t>
  </si>
  <si>
    <t>Lehmanns Marktstand</t>
  </si>
  <si>
    <t>Renate Messner</t>
  </si>
  <si>
    <t>Magazinweg 7</t>
  </si>
  <si>
    <t>Frankfurt a.M.</t>
  </si>
  <si>
    <t>Let's Stop N Shop</t>
  </si>
  <si>
    <t>Jaime Yorres</t>
  </si>
  <si>
    <t>87 Polk St. Suite 5</t>
  </si>
  <si>
    <t>San Francisco</t>
  </si>
  <si>
    <t>LILA-Supermercado</t>
  </si>
  <si>
    <t>Carlos González</t>
  </si>
  <si>
    <t>Carrera 52 con Ave. Bolívar #65-98 Llano Largo</t>
  </si>
  <si>
    <t>Barquisimeto</t>
  </si>
  <si>
    <t>LINO-Delicateses</t>
  </si>
  <si>
    <t>Felipe Izquierdo</t>
  </si>
  <si>
    <t>Ave. 5 de Mayo Porlamar</t>
  </si>
  <si>
    <t>I. de Margarita</t>
  </si>
  <si>
    <t>Lonesome Pine Restaurant</t>
  </si>
  <si>
    <t>Fran Wilson</t>
  </si>
  <si>
    <t>89 Chiaroscuro Rd.</t>
  </si>
  <si>
    <t>Portland</t>
  </si>
  <si>
    <t>Magazzini Alimentari Riuniti</t>
  </si>
  <si>
    <t>Giovanni Rovelli</t>
  </si>
  <si>
    <t>Via Ludovico il Moro 22</t>
  </si>
  <si>
    <t>Bergamo</t>
  </si>
  <si>
    <t>Maison Dewey</t>
  </si>
  <si>
    <t>Catherine Dewey</t>
  </si>
  <si>
    <t>Rue Joseph-Bens 532</t>
  </si>
  <si>
    <t>Bruxelles</t>
  </si>
  <si>
    <t>B-1180</t>
  </si>
  <si>
    <t>Belgium</t>
  </si>
  <si>
    <t>Mère Paillarde</t>
  </si>
  <si>
    <t>Jean Fresnière</t>
  </si>
  <si>
    <t>43 rue St. Laurent</t>
  </si>
  <si>
    <t>Montréal</t>
  </si>
  <si>
    <t>H1J 1C3</t>
  </si>
  <si>
    <t>Morgenstern Gesundkost</t>
  </si>
  <si>
    <t>Alexander Feuer</t>
  </si>
  <si>
    <t>Heerstr. 22</t>
  </si>
  <si>
    <t>Leipzig</t>
  </si>
  <si>
    <t>North/South</t>
  </si>
  <si>
    <t>Simon Crowther</t>
  </si>
  <si>
    <t>South House 300 Queensbridge</t>
  </si>
  <si>
    <t>SW7 1RZ</t>
  </si>
  <si>
    <t>Océano Atlántico Ltda.</t>
  </si>
  <si>
    <t>Yvonne Moncada</t>
  </si>
  <si>
    <t>Ing. Gustavo Moncada 8585 Piso 20-A</t>
  </si>
  <si>
    <t>Old World Delicatessen</t>
  </si>
  <si>
    <t>Rene Phillips</t>
  </si>
  <si>
    <t>2743 Bering St.</t>
  </si>
  <si>
    <t>Anchorage</t>
  </si>
  <si>
    <t>Ottilies Käseladen</t>
  </si>
  <si>
    <t>Henriette Pfalzheim</t>
  </si>
  <si>
    <t>Mehrheimerstr. 369</t>
  </si>
  <si>
    <t>Köln</t>
  </si>
  <si>
    <t>Paris spécialités</t>
  </si>
  <si>
    <t>Marie Bertrand</t>
  </si>
  <si>
    <t>265, boulevard Charonne</t>
  </si>
  <si>
    <t>Paris</t>
  </si>
  <si>
    <t>Pericles Comidas clásicas</t>
  </si>
  <si>
    <t>Guillermo Fernández</t>
  </si>
  <si>
    <t>Calle Dr. Jorge Cash 321</t>
  </si>
  <si>
    <t>Piccolo und mehr</t>
  </si>
  <si>
    <t>Georg Pipps</t>
  </si>
  <si>
    <t>Geislweg 14</t>
  </si>
  <si>
    <t>Salzburg</t>
  </si>
  <si>
    <t>Princesa Isabel Vinhoss</t>
  </si>
  <si>
    <t>Isabel de Castro</t>
  </si>
  <si>
    <t>Estrada da saúde n. 58</t>
  </si>
  <si>
    <t>Que Delícia</t>
  </si>
  <si>
    <t>Bernardo Batista</t>
  </si>
  <si>
    <t>Rua da Panificadora, 12</t>
  </si>
  <si>
    <t>02389-673</t>
  </si>
  <si>
    <t>Queen Cozinha</t>
  </si>
  <si>
    <t>Lúcia Carvalho</t>
  </si>
  <si>
    <t>Alameda dos Canàrios, 891</t>
  </si>
  <si>
    <t>05487-020</t>
  </si>
  <si>
    <t>QUICK-Stop</t>
  </si>
  <si>
    <t>Horst Kloss</t>
  </si>
  <si>
    <t>Taucherstraße 10</t>
  </si>
  <si>
    <t>Cunewalde</t>
  </si>
  <si>
    <t>Rancho grande</t>
  </si>
  <si>
    <t>Sergio Gutiérrez</t>
  </si>
  <si>
    <t>Av. del Libertador 900</t>
  </si>
  <si>
    <t>Rattlesnake Canyon Grocery</t>
  </si>
  <si>
    <t>Paula Wilson</t>
  </si>
  <si>
    <t>2817 Milton Dr.</t>
  </si>
  <si>
    <t>Albuquerque</t>
  </si>
  <si>
    <t>Reggiani Caseifici</t>
  </si>
  <si>
    <t>Maurizio Moroni</t>
  </si>
  <si>
    <t>Strada Provinciale 124</t>
  </si>
  <si>
    <t>Reggio Emilia</t>
  </si>
  <si>
    <t>Ricardo Adocicados</t>
  </si>
  <si>
    <t>Janete Limeira</t>
  </si>
  <si>
    <t>Av. Copacabana, 267</t>
  </si>
  <si>
    <t>02389-890</t>
  </si>
  <si>
    <t>Richter Supermarkt</t>
  </si>
  <si>
    <t>Michael Holz</t>
  </si>
  <si>
    <t>Grenzacherweg 237</t>
  </si>
  <si>
    <t>Genève</t>
  </si>
  <si>
    <t>Romero y tomillo</t>
  </si>
  <si>
    <t>Alejandra Camino</t>
  </si>
  <si>
    <t>Gran Vía, 1</t>
  </si>
  <si>
    <t>Santé Gourmet</t>
  </si>
  <si>
    <t>Jonas Bergulfsen</t>
  </si>
  <si>
    <t>Erling Skakkes gate 78</t>
  </si>
  <si>
    <t>Stavern</t>
  </si>
  <si>
    <t>Norway</t>
  </si>
  <si>
    <t>Save-a-lot Markets</t>
  </si>
  <si>
    <t>Jose Pavarotti</t>
  </si>
  <si>
    <t>187 Suffolk Ln.</t>
  </si>
  <si>
    <t>Boise</t>
  </si>
  <si>
    <t>Seven Seas Imports</t>
  </si>
  <si>
    <t>Hari Kumar</t>
  </si>
  <si>
    <t>90 Wadhurst Rd.</t>
  </si>
  <si>
    <t>OX15 4NB</t>
  </si>
  <si>
    <t>Simons bistro</t>
  </si>
  <si>
    <t>Jytte Petersen</t>
  </si>
  <si>
    <t>Vinbæltet 34</t>
  </si>
  <si>
    <t>København</t>
  </si>
  <si>
    <t>Denmark</t>
  </si>
  <si>
    <t>Spécialités du monde</t>
  </si>
  <si>
    <t>Dominique Perrier</t>
  </si>
  <si>
    <t>25, rue Lauriston</t>
  </si>
  <si>
    <t>Split Rail Beer &amp; Ale</t>
  </si>
  <si>
    <t>Art Braunschweiger</t>
  </si>
  <si>
    <t>P.O. Box 555</t>
  </si>
  <si>
    <t>Lander</t>
  </si>
  <si>
    <t>Suprêmes délices</t>
  </si>
  <si>
    <t>Pascale Cartrain</t>
  </si>
  <si>
    <t>Boulevard Tirou, 255</t>
  </si>
  <si>
    <t>Charleroi</t>
  </si>
  <si>
    <t>B-6000</t>
  </si>
  <si>
    <t>The Big Cheese</t>
  </si>
  <si>
    <t>Liz Nixon</t>
  </si>
  <si>
    <t>89 Jefferson Way Suite 2</t>
  </si>
  <si>
    <t>The Cracker Box</t>
  </si>
  <si>
    <t>Liu Wong</t>
  </si>
  <si>
    <t>55 Grizzly Peak Rd.</t>
  </si>
  <si>
    <t>Butte</t>
  </si>
  <si>
    <t>Toms Spezialitäten</t>
  </si>
  <si>
    <t>Karin Josephs</t>
  </si>
  <si>
    <t>Luisenstr. 48</t>
  </si>
  <si>
    <t>Münster</t>
  </si>
  <si>
    <t>Tortuga Restaurante</t>
  </si>
  <si>
    <t>Miguel Angel Paolino</t>
  </si>
  <si>
    <t>Avda. Azteca 123</t>
  </si>
  <si>
    <t>Tradição Hipermercados</t>
  </si>
  <si>
    <t>Anabela Domingues</t>
  </si>
  <si>
    <t>Av. Inês de Castro, 414</t>
  </si>
  <si>
    <t>05634-030</t>
  </si>
  <si>
    <t>Trail's Head Gourmet Provisioners</t>
  </si>
  <si>
    <t>Helvetius Nagy</t>
  </si>
  <si>
    <t>722 DaVinci Blvd.</t>
  </si>
  <si>
    <t>Kirkland</t>
  </si>
  <si>
    <t>Vaffeljernet</t>
  </si>
  <si>
    <t>Palle Ibsen</t>
  </si>
  <si>
    <t>Smagsløget 45</t>
  </si>
  <si>
    <t>Århus</t>
  </si>
  <si>
    <t>Victuailles en stock</t>
  </si>
  <si>
    <t>Mary Saveley</t>
  </si>
  <si>
    <t>2, rue du Commerce</t>
  </si>
  <si>
    <t>Lyon</t>
  </si>
  <si>
    <t>Vins et alcools Chevalier</t>
  </si>
  <si>
    <t>Paul Henriot</t>
  </si>
  <si>
    <t>59 rue de l'Abbaye</t>
  </si>
  <si>
    <t>Reims</t>
  </si>
  <si>
    <t>Die Wandernde Kuh</t>
  </si>
  <si>
    <t>Rita Müller</t>
  </si>
  <si>
    <t>Adenauerallee 900</t>
  </si>
  <si>
    <t>Stuttgart</t>
  </si>
  <si>
    <t>Wartian Herkku</t>
  </si>
  <si>
    <t>Pirkko Koskitalo</t>
  </si>
  <si>
    <t>Torikatu 38</t>
  </si>
  <si>
    <t>Oulu</t>
  </si>
  <si>
    <t>Finland</t>
  </si>
  <si>
    <t>Wellington Importadora</t>
  </si>
  <si>
    <t>Paula Parente</t>
  </si>
  <si>
    <t>Rua do Mercado, 12</t>
  </si>
  <si>
    <t>Resende</t>
  </si>
  <si>
    <t>08737-363</t>
  </si>
  <si>
    <t>White Clover Markets</t>
  </si>
  <si>
    <t>Karl Jablonski</t>
  </si>
  <si>
    <t>305 - 14th Ave. S. Suite 3B</t>
  </si>
  <si>
    <t>Seattle</t>
  </si>
  <si>
    <t>Wilman Kala</t>
  </si>
  <si>
    <t>Matti Karttunen</t>
  </si>
  <si>
    <t>Keskuskatu 45</t>
  </si>
  <si>
    <t>Helsinki</t>
  </si>
  <si>
    <t>Wolski</t>
  </si>
  <si>
    <t>Zbyszek</t>
  </si>
  <si>
    <t>ul. Filtrowa 68</t>
  </si>
  <si>
    <t>Walla</t>
  </si>
  <si>
    <t>01-012</t>
  </si>
  <si>
    <t>Poland</t>
  </si>
  <si>
    <t>ProductID</t>
  </si>
  <si>
    <t>ProductName</t>
  </si>
  <si>
    <t>SupplierID</t>
  </si>
  <si>
    <t>CategoryID</t>
  </si>
  <si>
    <t>Unit</t>
  </si>
  <si>
    <t>Price</t>
  </si>
  <si>
    <t>Chais</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</si>
  <si>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</si>
  <si>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</si>
  <si>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</si>
  <si>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</si>
  <si>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</si>
  <si>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</si>
  <si>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</si>
  <si>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</si>
  <si>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</si>
  <si>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</si>
  <si>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</si>
  <si>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</si>
  <si>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</si>
  <si>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</si>
  <si>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</si>
  <si>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</si>
  <si>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</si>
  <si>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</si>
  <si>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</si>
  <si>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</si>
  <si>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</si>
  <si>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</si>
  <si>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</si>
  <si>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</si>
  <si>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</si>
  <si>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</si>
  <si>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</si>
  <si>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</si>
  <si>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</si>
  <si>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</si>
  <si>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</si>
  <si>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</si>
  <si>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</si>
  <si>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</si>
  <si>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</si>
  <si>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</si>
  <si>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</si>
  <si>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</si>
  <si>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</si>
  <si>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</si>
  <si>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</si>
  <si>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</si>
  <si>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</si>
  <si>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</si>
  <si>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</si>
  <si>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</si>
  <si>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</si>
  <si>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</si>
  <si>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</si>
  <si>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</si>
  <si>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</si>
  <si>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</si>
  <si>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</si>
  <si>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</si>
  <si>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</si>
  <si>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</si>
  <si>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</si>
  <si>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</si>
  <si>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</si>
  <si>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</si>
  <si>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</si>
  <si>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</si>
  <si>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</si>
  <si>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</si>
  <si>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</si>
  <si>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</si>
  <si>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</si>
  <si>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</si>
  <si>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</si>
  <si>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</si>
  <si>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</si>
  <si>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</si>
  <si>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</si>
  <si>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</si>
  <si>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</si>
  <si>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</si>
  <si>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</si>
  <si>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</si>
  <si>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</si>
  <si>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</si>
  <si>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</si>
  <si>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</si>
  <si>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</si>
  <si>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</si>
  <si>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</si>
  <si>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Røgede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</si>
  <si>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</si>
  <si>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</si>
  <si>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</si>
  <si>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</si>
  <si>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</si>
  <si>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</si>
  <si>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</si>
  <si>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</si>
  <si>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</si>
  <si>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</si>
  <si>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</si>
  <si>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</si>
  <si>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</si>
  <si>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</si>
  <si>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</si>
  <si>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</si>
  <si>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</si>
  <si>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</si>
  <si>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</si>
  <si>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</si>
  <si>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</si>
  <si>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</si>
  <si>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</si>
  <si>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</si>
  <si>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</si>
  <si>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</si>
  <si>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</si>
  <si>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</si>
  <si>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</si>
  <si>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</si>
  <si>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</si>
  <si>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</si>
  <si>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</si>
  <si>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</si>
  <si>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</si>
  <si>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</si>
  <si>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</si>
  <si>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</si>
  <si>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</si>
  <si>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</si>
  <si>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</si>
  <si>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</si>
  <si>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</si>
  <si>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</si>
  <si>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</si>
  <si>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</si>
  <si>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</si>
  <si>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</si>
  <si>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</si>
  <si>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Fløtemysost</t>
  </si>
  <si>
    <t>Mozzarella di Giovanni</t>
  </si>
  <si>
    <t>Röd Kaviar</t>
  </si>
  <si>
    <t>24 - 150 g jars</t>
  </si>
  <si>
    <t>Longlife Tofu</t>
  </si>
  <si>
    <t>Rhönbräu Klosterbier</t>
  </si>
  <si>
    <t>24 - 0.5 l bottles</t>
  </si>
  <si>
    <t>Lakkalikööri</t>
  </si>
  <si>
    <t>500 ml</t>
  </si>
  <si>
    <t>Original Frankfurter grüne Soße</t>
  </si>
  <si>
    <t>12 boxes</t>
  </si>
  <si>
    <t>OrderID</t>
  </si>
  <si>
    <t>EmployeeID</t>
  </si>
  <si>
    <t>OrderDate</t>
  </si>
  <si>
    <t>ShipperID</t>
  </si>
  <si>
    <t>SupplierName</t>
  </si>
  <si>
    <t>Phone</t>
  </si>
  <si>
    <t>Exotic Liquid</t>
  </si>
  <si>
    <t>Charlotte Cooper</t>
  </si>
  <si>
    <t>49 Gilbert St.</t>
  </si>
  <si>
    <t>Londona</t>
  </si>
  <si>
    <t>EC1 4SD</t>
  </si>
  <si>
    <t>(171) 555-2222</t>
  </si>
  <si>
    <t>New Orleans Cajun Delights</t>
  </si>
  <si>
    <t>Shelley Burke</t>
  </si>
  <si>
    <t>P.O. Box 78934</t>
  </si>
  <si>
    <t>New Orleans</t>
  </si>
  <si>
    <t>(100) 555-4822</t>
  </si>
  <si>
    <t>Grandma Kelly's Homestead</t>
  </si>
  <si>
    <t>Regina Murphy</t>
  </si>
  <si>
    <t>707 Oxford Rd.</t>
  </si>
  <si>
    <t>Ann Arbor</t>
  </si>
  <si>
    <t>(313) 555-5735</t>
  </si>
  <si>
    <t>Tokyo Traders</t>
  </si>
  <si>
    <t>Yoshi Nagase</t>
  </si>
  <si>
    <t>9-8 Sekimai Musashino-shi</t>
  </si>
  <si>
    <t>Tokyo</t>
  </si>
  <si>
    <t>Japan</t>
  </si>
  <si>
    <t>(03) 3555-5011</t>
  </si>
  <si>
    <t>Cooperativa de Quesos 'Las Cabras'</t>
  </si>
  <si>
    <t>Antonio del Valle Saavedra</t>
  </si>
  <si>
    <t>Calle del Rosal 4</t>
  </si>
  <si>
    <t>Oviedo</t>
  </si>
  <si>
    <t>(98) 598 76 54</t>
  </si>
  <si>
    <t>Mayumi's</t>
  </si>
  <si>
    <t>Mayumi Ohno</t>
  </si>
  <si>
    <t>92 Setsuko Chuo-ku</t>
  </si>
  <si>
    <t>Osaka</t>
  </si>
  <si>
    <t>(06) 431-7877</t>
  </si>
  <si>
    <t>Pavlova, Ltd.</t>
  </si>
  <si>
    <t>Ian Devling</t>
  </si>
  <si>
    <t>74 Rose St. Moonie Ponds</t>
  </si>
  <si>
    <t>Melbourne</t>
  </si>
  <si>
    <t>Australia</t>
  </si>
  <si>
    <t>(03) 444-2343</t>
  </si>
  <si>
    <t>Specialty Biscuits, Ltd.</t>
  </si>
  <si>
    <t>Peter Wilson</t>
  </si>
  <si>
    <t>29 King's Way</t>
  </si>
  <si>
    <t>Manchester</t>
  </si>
  <si>
    <t>M14 GSD</t>
  </si>
  <si>
    <t>(161) 555-4448</t>
  </si>
  <si>
    <t>PB Knäckebröd AB</t>
  </si>
  <si>
    <t>Lars Peterson</t>
  </si>
  <si>
    <t>Kaloadagatan 13</t>
  </si>
  <si>
    <t>Göteborg</t>
  </si>
  <si>
    <t>S-345 67</t>
  </si>
  <si>
    <t>031-987 65 43</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</si>
  <si>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</si>
  <si>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</si>
  <si>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</si>
  <si>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</si>
  <si>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</si>
  <si>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</si>
  <si>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</si>
  <si>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</si>
  <si>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</si>
  <si>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</si>
  <si>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Bogenallee 51</t>
  </si>
  <si>
    <t>Frankfurt</t>
  </si>
  <si>
    <t>(069) 992755</t>
  </si>
  <si>
    <t>Nord-Ost-Fisch Handelsgesellschaft mbH</t>
  </si>
  <si>
    <t>Sven Petersen</t>
  </si>
  <si>
    <t>Frahmredder 112a</t>
  </si>
  <si>
    <t>Cuxhaven</t>
  </si>
  <si>
    <t>(04721) 8713</t>
  </si>
  <si>
    <t>Formaggi Fortini s.r.l.</t>
  </si>
  <si>
    <t>Elio Rossi</t>
  </si>
  <si>
    <t>Viale Dante, 75</t>
  </si>
  <si>
    <t>Ravenna</t>
  </si>
  <si>
    <t>(0544) 60323</t>
  </si>
  <si>
    <t>Norske Meierier</t>
  </si>
  <si>
    <t>Beate Vileid</t>
  </si>
  <si>
    <t>Hatlevegen 5</t>
  </si>
  <si>
    <t>Sandvika</t>
  </si>
  <si>
    <t>(0)2-953010</t>
  </si>
  <si>
    <t>Bigfoot Breweries</t>
  </si>
  <si>
    <t>Cheryl Saylor</t>
  </si>
  <si>
    <t>3400 - 8th Avenue Suite 210</t>
  </si>
  <si>
    <t>Bend</t>
  </si>
  <si>
    <t>(503) 555-9931</t>
  </si>
  <si>
    <t>Svensk Sjöföda AB</t>
  </si>
  <si>
    <t>Michael Björn</t>
  </si>
  <si>
    <t>Brovallavägen 231</t>
  </si>
  <si>
    <t>Stockholm</t>
  </si>
  <si>
    <t>S-123 45</t>
  </si>
  <si>
    <t>08-123 45 67</t>
  </si>
  <si>
    <t>Aux joyeux ecclésiastiques</t>
  </si>
  <si>
    <t>Guylène Nodier</t>
  </si>
  <si>
    <t>203, Rue des Francs-Bourgeois</t>
  </si>
  <si>
    <t>(1) 03.83.00.68</t>
  </si>
  <si>
    <t>New England Seafood Cannery</t>
  </si>
  <si>
    <t>Robb Merchant</t>
  </si>
  <si>
    <t>Order Processing Dept. 2100 Paul Revere Blvd.</t>
  </si>
  <si>
    <t>Boston</t>
  </si>
  <si>
    <t>(617) 555-3267</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</si>
  <si>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</si>
  <si>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</si>
  <si>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</si>
  <si>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</si>
  <si>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</si>
  <si>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</si>
  <si>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</si>
  <si>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</si>
  <si>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</si>
  <si>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</si>
  <si>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</si>
  <si>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</si>
  <si>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</si>
  <si>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</si>
  <si>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</si>
  <si>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</si>
  <si>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Karkki Oy</t>
  </si>
  <si>
    <t>Anne Heikkonen</t>
  </si>
  <si>
    <t>Valtakatu 12</t>
  </si>
  <si>
    <t>Lappeenranta</t>
  </si>
  <si>
    <t>(953) 10956</t>
  </si>
  <si>
    <t>G'day, Mate</t>
  </si>
  <si>
    <t>Wendy Mackenzie</t>
  </si>
  <si>
    <t>170 Prince Edward Parade Hunter's Hill</t>
  </si>
  <si>
    <t>Sydney</t>
  </si>
  <si>
    <t>(02) 555-5914</t>
  </si>
  <si>
    <t>Ma Maison</t>
  </si>
  <si>
    <t>Jean-Guy Lauzon</t>
  </si>
  <si>
    <t>2960 Rue St. Laurent</t>
  </si>
  <si>
    <t>(514) 555-9022</t>
  </si>
  <si>
    <t>Pasta Buttini s.r.l.</t>
  </si>
  <si>
    <t>Giovanni Giudici</t>
  </si>
  <si>
    <t>Via dei Gelsomini, 153</t>
  </si>
  <si>
    <t>Salerno</t>
  </si>
  <si>
    <t>(089) 6547665</t>
  </si>
  <si>
    <t>Escargots Nouveaux</t>
  </si>
  <si>
    <t>Marie Delamare</t>
  </si>
  <si>
    <t>22, rue H. Voiron</t>
  </si>
  <si>
    <t>Montceau</t>
  </si>
  <si>
    <t>85.57.00.07</t>
  </si>
  <si>
    <t>Gai pâturage</t>
  </si>
  <si>
    <t>Eliane Noz</t>
  </si>
  <si>
    <t>Bat. B 3, rue des Alpes</t>
  </si>
  <si>
    <t>Annecy</t>
  </si>
  <si>
    <t>38.76.98.06</t>
  </si>
  <si>
    <t>Forêts d'érables</t>
  </si>
  <si>
    <t>Chantal Goulet</t>
  </si>
  <si>
    <t>148 rue Chasseur</t>
  </si>
  <si>
    <t>Ste-Hyacinthe</t>
  </si>
  <si>
    <t>J2S 7S8</t>
  </si>
  <si>
    <t>(514) 555-2955</t>
  </si>
  <si>
    <t>SELECT * FROM t1</t>
  </si>
  <si>
    <t>SELECT CustomerName, City FROM t1</t>
  </si>
  <si>
    <t>SELECT * FROM t1
WHERE Country='Germany' AND (City='Berlin' OR City='München')</t>
  </si>
  <si>
    <t>SELECT * FROM t1
ORDER BY Country</t>
  </si>
  <si>
    <t>SELECT * FROM t1
ORDER BY Country ASC, CustomerName DESC</t>
  </si>
  <si>
    <t>SELECT * FROM t1
ORDER BY Country, CustomerName</t>
  </si>
  <si>
    <t>SELECT t1.OrderID, t2.LastName, t2.FirstName
FROM t1
RIGHT JOIN t2 ON t1.EmployeeID = t2.EmployeeID
ORDER BY t1.OrderID</t>
  </si>
  <si>
    <t>SELECT t1.CustomerName, t2.OrderID
FROM t1
OUTER JOIN t2 ON t1.CustomerID=t2.CustomerID
ORDER BY t1.CustomerName</t>
  </si>
  <si>
    <t>SELECT City FROM t1
ORDER BY City</t>
  </si>
  <si>
    <t>SELECT (a+b)*,(c+d) AS e FROM t1</t>
  </si>
  <si>
    <t>SELECT (a+b)*)(c+d) AS e FROM t1</t>
  </si>
  <si>
    <t>SELECT a a AS B FROM t1</t>
  </si>
  <si>
    <t>SELECT a ++ b AS C FROM t1</t>
  </si>
  <si>
    <t>SELECT MIN(Price) AS p_min
FROM t1</t>
  </si>
  <si>
    <t>SELECT * FROM t1
WHERE City='Berlin' AND Country='Germany'</t>
  </si>
  <si>
    <t>SELECT * FROM t1
WHERE City='Berlin' OR City='München'</t>
  </si>
  <si>
    <t>SELECT * FROM t1
WHERE NOT (Country='Germany' OR Country='USA')</t>
  </si>
  <si>
    <t>SELECT CustomerID FROM t1
WHERE CustomerID &lt; 3</t>
  </si>
  <si>
    <t>SELECT * FROM t1
WHERE NOT Country='Germany'</t>
  </si>
  <si>
    <t>SELECT Country AS cntr FROM t1
WHERE Country = 'Mexico'</t>
  </si>
  <si>
    <t>SELECT country, POW(2,3) AS c FROM t1</t>
  </si>
  <si>
    <t xml:space="preserve">SELECT * FROM t1
WHERE CustomerName LIKE '%tt%' </t>
  </si>
  <si>
    <t>SELECT (ProductID+SupplierID)*(Price+CategoryID) AS e FROM t1</t>
  </si>
  <si>
    <t>SELECT SUM(ProductID+SupplierID) AS c FROM t1</t>
  </si>
  <si>
    <t>SELECT SIN(Price*2) AS k FROM t1</t>
  </si>
  <si>
    <t>SELECT t1.OrderID, t2.CustomerName, t1.OrderDate
FROM t1
NATURAL JOIN t2</t>
  </si>
  <si>
    <t>SELECT AVG(Price)*2*1.5 AS p_avg
FROM t1</t>
  </si>
  <si>
    <t>SELECT Country, COUNT(Country) AS n FROM t1
WHERE Country LIKE '%land%'
HAVING n &lt; 2
ORDER BY Country</t>
  </si>
  <si>
    <t>SELECT t1.CustomerName AS p, t2.OrderID AS ok
FROM t1
JOIN t2 ON t1.CustomerID = t2.CustomerID
ORDER BY p</t>
  </si>
  <si>
    <t>LastName</t>
  </si>
  <si>
    <t>FirstName</t>
  </si>
  <si>
    <t>BirthDate</t>
  </si>
  <si>
    <t>Photo</t>
  </si>
  <si>
    <t>Notes</t>
  </si>
  <si>
    <t>Davolio</t>
  </si>
  <si>
    <t>Nancy</t>
  </si>
  <si>
    <t>EmpID1.pic</t>
  </si>
  <si>
    <t>Education includes a BA in psychology from Colorado State University. She also completed (The Art of the Cold Call). Nancy is a member of 'Toastmasters International'.</t>
  </si>
  <si>
    <t>Fuller</t>
  </si>
  <si>
    <t>Andrew</t>
  </si>
  <si>
    <t>EmpID2.pic</t>
  </si>
  <si>
    <t>Andrew received his BTS commercial and a Ph.D. in international marketing from the University of Dallas. He is fluent in French and Italian and reads German. He joined the company as a sales representative, was promoted to sales manager and was then named vice president of sales. Andrew is a member of the Sales Management Roundtable, the Seattle Chamber of Commerce, and the Pacific Rim Importers Association.</t>
  </si>
  <si>
    <t>Leverling</t>
  </si>
  <si>
    <t>Janet</t>
  </si>
  <si>
    <t>EmpID3.pic</t>
  </si>
  <si>
    <t>Janet has a BS degree in chemistry from Boston College). She has also completed a certificate program in food retailing management. Janet was hired as a sales associate and was promoted to sales representative.</t>
  </si>
  <si>
    <t>Peacock</t>
  </si>
  <si>
    <t>Margaret</t>
  </si>
  <si>
    <t>EmpID4.pic</t>
  </si>
  <si>
    <t>Margaret holds a BA in English literature from Concordia College and an MA from the American Institute of Culinary Arts. She was temporarily assigned to the London office before returning to her permanent post in Seattle.</t>
  </si>
  <si>
    <t>Buchanan</t>
  </si>
  <si>
    <t>Steven</t>
  </si>
  <si>
    <t>EmpID5.pic</t>
  </si>
  <si>
    <t>Steven Buchanan graduated from St. Andrews University, Scotland, with a BSC degree. Upon joining the company as a sales representative, he spent 6 months in an orientation program at the Seattle office and then returned to his permanent post in London, where he was promoted to sales manager. Mr. Buchanan has completed the courses 'Successful Telemarketing' and 'International Sales Management'. He is fluent in French.</t>
  </si>
  <si>
    <t>Suyama</t>
  </si>
  <si>
    <t>Michael</t>
  </si>
  <si>
    <t>EmpID6.pic</t>
  </si>
  <si>
    <t>Michael is a graduate of Sussex University (MA, economics) and the University of California at Los Angeles (MBA, marketing). He has also taken the courses 'Multi-Cultural Selling' and 'Time Management for the Sales Professional'. He is fluent in Japanese and can read and write French, Portuguese, and Spanish.</t>
  </si>
  <si>
    <t>King</t>
  </si>
  <si>
    <t>Robert</t>
  </si>
  <si>
    <t>EmpID7.pic</t>
  </si>
  <si>
    <t>Robert King served in the Peace Corps and traveled extensively before completing his degree in English at the University of Michigan and then joining the company. After completing a course entitled 'Selling in Europe', he was transferred to the London office.</t>
  </si>
  <si>
    <t>Callahan</t>
  </si>
  <si>
    <t>Laura</t>
  </si>
  <si>
    <t>EmpID8.pic</t>
  </si>
  <si>
    <t>Laura received a BA in psychology from the University of Washington. She has also completed a course in business French. She reads and writes French.</t>
  </si>
  <si>
    <t>Dodsworth</t>
  </si>
  <si>
    <t>Anne</t>
  </si>
  <si>
    <t>EmpID9.pic</t>
  </si>
  <si>
    <t>Anne has a BA degree in English from St. Lawrence College. She is fluent in French and German.</t>
  </si>
  <si>
    <t>West</t>
  </si>
  <si>
    <t>Adam</t>
  </si>
  <si>
    <t>EmpID10.pic</t>
  </si>
  <si>
    <t>An old chum.</t>
  </si>
  <si>
    <t>SELECT Country FROM t1
WHERE Country IN ('Germany', 'France', 'UK')</t>
  </si>
  <si>
    <t>SELECT t1.CustomerName AS CustomerName1, t2.CustomerName AS CustomerName2, t1.City
FROM t1 JOIN t2
ON t1.Country = t2.Country
AND t1.City = t2.City
ORDER BY t1.City</t>
  </si>
  <si>
    <t>This macro provides functions to make simple relational algebra</t>
  </si>
  <si>
    <t>The relational model is simplified. A relation is defined as a 2d-table, columns have a name (first row) but no type.</t>
  </si>
  <si>
    <t>However, neither rows nor columns are ordered (except with relOrder function) and do not have duplicates</t>
  </si>
  <si>
    <t>The functions are demonstrated here</t>
  </si>
  <si>
    <t>Our data</t>
  </si>
  <si>
    <t>Manufacturer data</t>
  </si>
  <si>
    <t>Products data</t>
  </si>
  <si>
    <t>code</t>
  </si>
  <si>
    <t>name</t>
  </si>
  <si>
    <t>price</t>
  </si>
  <si>
    <t>manufacturer</t>
  </si>
  <si>
    <t>Sony</t>
  </si>
  <si>
    <t>Hard drive</t>
  </si>
  <si>
    <t>Creative Labs</t>
  </si>
  <si>
    <t>Memory</t>
  </si>
  <si>
    <t>Hewlett Packard</t>
  </si>
  <si>
    <t>ZIP drive</t>
  </si>
  <si>
    <t>Iomega</t>
  </si>
  <si>
    <t>Floppy disk</t>
  </si>
  <si>
    <t>Fujitsu</t>
  </si>
  <si>
    <t>Monitor</t>
  </si>
  <si>
    <t>Winchester</t>
  </si>
  <si>
    <t>DVD drive</t>
  </si>
  <si>
    <t>CD drive</t>
  </si>
  <si>
    <t>Printer</t>
  </si>
  <si>
    <t>Toner cartridge</t>
  </si>
  <si>
    <t>DVD burner</t>
  </si>
  <si>
    <t>Define relation</t>
  </si>
  <si>
    <t>To see more than one line, format cell as wrap cell and align top</t>
  </si>
  <si>
    <t>Select</t>
  </si>
  <si>
    <t>Columns are selected by name or position and preceded by dollar sign, if used as string and a percent sign, if used as number</t>
  </si>
  <si>
    <t>You may have to double quote strings inside the formula.</t>
  </si>
  <si>
    <t>Project</t>
  </si>
  <si>
    <t>Extend</t>
  </si>
  <si>
    <t>You can add a column with calculations based on existing columns</t>
  </si>
  <si>
    <t>If you do not specify the column name, it will be automatically named.</t>
  </si>
  <si>
    <t>Rename</t>
  </si>
  <si>
    <t>Union</t>
  </si>
  <si>
    <t>Union only checks for arity, common columns and eliminates duplicates</t>
  </si>
  <si>
    <t>Difference</t>
  </si>
  <si>
    <t>Difference also checks for arity and columns</t>
  </si>
  <si>
    <t>Intersect</t>
  </si>
  <si>
    <t>Join</t>
  </si>
  <si>
    <t>Join is actually a theta join, use column numbers or names.</t>
  </si>
  <si>
    <t>Duplicate column names are renamed with suffixes.</t>
  </si>
  <si>
    <t>Special conditions: NATURAL, LEFT, RIGHT, OUTER, LEFTSEMI, RIGHTSEMI, LEFTANTISEMI, RIGHTANTISEMI</t>
  </si>
  <si>
    <t>For cross product set condition to true</t>
  </si>
  <si>
    <t>Self join is also possible</t>
  </si>
  <si>
    <t>Order</t>
  </si>
  <si>
    <t>This is not really relational algebra, as sets have no order, but useful</t>
  </si>
  <si>
    <t>List separated by ::, each item is column, space and an order operator</t>
  </si>
  <si>
    <t>A alpha, Z alpha reverse, 9 value top down, 1 value bottom up</t>
  </si>
  <si>
    <t>Limit</t>
  </si>
  <si>
    <t>This is not really relational algebra, but useful. Limit -1 does not limit)</t>
  </si>
  <si>
    <t>Get values back to cell</t>
  </si>
  <si>
    <t>One based row and column. Does return empty string, when out of bounds</t>
  </si>
  <si>
    <t>There is a third parameter if you want to have the result to be forced to be a number</t>
  </si>
  <si>
    <t>Like</t>
  </si>
  <si>
    <t>text</t>
  </si>
  <si>
    <t>pattern</t>
  </si>
  <si>
    <t>F</t>
  </si>
  <si>
    <t>f</t>
  </si>
  <si>
    <t>FFF</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</si>
  <si>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</si>
  <si>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</si>
  <si>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</si>
  <si>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</si>
  <si>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</si>
  <si>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</si>
  <si>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</si>
  <si>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</si>
  <si>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</si>
  <si>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</si>
  <si>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</si>
  <si>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</si>
  <si>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</si>
  <si>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Rotate</t>
  </si>
  <si>
    <t xml:space="preserve">Rotate is not really relational algebra either, but useful, too. </t>
  </si>
  <si>
    <t>Column names are lost, and columns are automatically named, unless you want to use the first column as headers</t>
  </si>
  <si>
    <t>Filter</t>
  </si>
  <si>
    <t>relFilter is a workaround to deal with the 32k limit of Excel. Only the end result must be less than 32k.</t>
  </si>
  <si>
    <t>You can use any operators, call them by their first letter: S, P, E, U, D, I, J, R, O, R. Q is used for Rotation</t>
  </si>
  <si>
    <t xml:space="preserve">A range with more than one cell will be interpreted as range. </t>
  </si>
  <si>
    <t>An empty string will be interpreted as relation</t>
  </si>
  <si>
    <t>A string with a newline character will be interpreted as relation</t>
  </si>
  <si>
    <t>Special command C selects a single cell results (shortcut to remove header) and returns a number, if different from 0</t>
  </si>
  <si>
    <t>Special command ! cuts calculation (debugging)</t>
  </si>
  <si>
    <t>Special command # starts a comment</t>
  </si>
  <si>
    <t>Assertion</t>
  </si>
  <si>
    <t>You can use relAssertion to check integitry of relations</t>
  </si>
  <si>
    <t>The constraints can be ALL, EXISTS, UNIQUE, COLUMNS and apply to an expression on the relation</t>
  </si>
  <si>
    <t>If the constraint is respected, the function returns true.</t>
  </si>
  <si>
    <t>If the constraint is not respected, an error with the line is returned</t>
  </si>
  <si>
    <t>Current limitations</t>
  </si>
  <si>
    <t>matti@belle-nuit.com</t>
  </si>
  <si>
    <t>Some exercices</t>
  </si>
  <si>
    <t>From http://www.sofawiki.com/demo/queryfunction/the-computer-store</t>
  </si>
  <si>
    <t>manid</t>
  </si>
  <si>
    <t>itemid</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</si>
  <si>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</si>
  <si>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</si>
  <si>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</si>
  <si>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</si>
  <si>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</si>
  <si>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</si>
  <si>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</si>
  <si>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</si>
  <si>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</si>
  <si>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</si>
  <si>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</si>
  <si>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</si>
  <si>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</si>
  <si>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</si>
  <si>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</si>
  <si>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From http://www.sofawiki.com/demo/queryfunction/employee-management</t>
  </si>
  <si>
    <t>depid</t>
  </si>
  <si>
    <t>department</t>
  </si>
  <si>
    <t>budget</t>
  </si>
  <si>
    <t>ssn</t>
  </si>
  <si>
    <t>lastname</t>
  </si>
  <si>
    <t>IT</t>
  </si>
  <si>
    <t>Rogers</t>
  </si>
  <si>
    <t>Accounting</t>
  </si>
  <si>
    <t>Anand</t>
  </si>
  <si>
    <t>Manikutty</t>
  </si>
  <si>
    <t>Human Resources</t>
  </si>
  <si>
    <t>Carol</t>
  </si>
  <si>
    <t>Smith</t>
  </si>
  <si>
    <t>Research</t>
  </si>
  <si>
    <t>Joe</t>
  </si>
  <si>
    <t>Stevens</t>
  </si>
  <si>
    <t>Mary-Anne</t>
  </si>
  <si>
    <t>Foster</t>
  </si>
  <si>
    <t>George</t>
  </si>
  <si>
    <t>ODonnell</t>
  </si>
  <si>
    <t>John</t>
  </si>
  <si>
    <t>Doe</t>
  </si>
  <si>
    <t>David</t>
  </si>
  <si>
    <t>Zacary</t>
  </si>
  <si>
    <t>Efron</t>
  </si>
  <si>
    <t>Eric</t>
  </si>
  <si>
    <t>Goldsmith</t>
  </si>
  <si>
    <t>Elizabeth</t>
  </si>
  <si>
    <t>Kumar</t>
  </si>
  <si>
    <t>Swamy</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</si>
  <si>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</si>
  <si>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</si>
  <si>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</si>
  <si>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</si>
  <si>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</si>
  <si>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</si>
  <si>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</si>
  <si>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</si>
  <si>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</si>
  <si>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</si>
  <si>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</si>
  <si>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</si>
  <si>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</si>
  <si>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http://www.sofawiki.com/demo/queryfunction/the-warehouse</t>
  </si>
  <si>
    <t>wid</t>
  </si>
  <si>
    <t>location</t>
  </si>
  <si>
    <t>capacity</t>
  </si>
  <si>
    <t>boxid</t>
  </si>
  <si>
    <t>contents</t>
  </si>
  <si>
    <t>value</t>
  </si>
  <si>
    <t>Chicago</t>
  </si>
  <si>
    <t>0MN7</t>
  </si>
  <si>
    <t>Rocks</t>
  </si>
  <si>
    <t>4H8P</t>
  </si>
  <si>
    <t>New York</t>
  </si>
  <si>
    <t>4RT3</t>
  </si>
  <si>
    <t>Scissors</t>
  </si>
  <si>
    <t>Los Angeles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</si>
  <si>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</si>
  <si>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</si>
  <si>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</si>
  <si>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</si>
  <si>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</si>
  <si>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</si>
  <si>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</si>
  <si>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</si>
  <si>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</si>
  <si>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</si>
  <si>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</si>
  <si>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</si>
  <si>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</si>
  <si>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</si>
  <si>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</si>
  <si>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</si>
  <si>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</si>
  <si>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</si>
  <si>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pid</t>
  </si>
  <si>
    <t>pname</t>
  </si>
  <si>
    <t>eid</t>
  </si>
  <si>
    <t>ename</t>
  </si>
  <si>
    <t>Sprocket</t>
  </si>
  <si>
    <t>HAL</t>
  </si>
  <si>
    <t>Clarke Entreprises</t>
  </si>
  <si>
    <t>Screw</t>
  </si>
  <si>
    <t>RBT</t>
  </si>
  <si>
    <t>Susan Calvin Corp.</t>
  </si>
  <si>
    <t>Nut</t>
  </si>
  <si>
    <t>TNBC</t>
  </si>
  <si>
    <t>Skellington Supplies</t>
  </si>
  <si>
    <t>Bolt</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</si>
  <si>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</si>
  <si>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</si>
  <si>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</si>
  <si>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</si>
  <si>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</si>
  <si>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</si>
  <si>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</si>
  <si>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Plan comptable</t>
  </si>
  <si>
    <t>Bilan</t>
  </si>
  <si>
    <t>PP</t>
  </si>
  <si>
    <t>Intermediate calculations</t>
  </si>
  <si>
    <t>journal data</t>
  </si>
  <si>
    <t>negative column</t>
  </si>
  <si>
    <t>left values</t>
  </si>
  <si>
    <t>right values</t>
  </si>
  <si>
    <t>journal linearized</t>
  </si>
  <si>
    <t>quick balance</t>
  </si>
  <si>
    <t>counts 1000</t>
  </si>
  <si>
    <t>counts 2000</t>
  </si>
  <si>
    <t>counts 3000</t>
  </si>
  <si>
    <t>counts 4000</t>
  </si>
  <si>
    <t>sum 1000</t>
  </si>
  <si>
    <t>sum 2000</t>
  </si>
  <si>
    <t>sum 3000</t>
  </si>
  <si>
    <t>sum 4000</t>
  </si>
  <si>
    <t>profit</t>
  </si>
  <si>
    <t>sum 1000/2000</t>
  </si>
  <si>
    <t>sum 3000/4000</t>
  </si>
  <si>
    <t>Date</t>
  </si>
  <si>
    <t>Label</t>
  </si>
  <si>
    <t>Avoir</t>
  </si>
  <si>
    <t>Devoir</t>
  </si>
  <si>
    <t>Montant</t>
  </si>
  <si>
    <t>Compte</t>
  </si>
  <si>
    <t>OUVERTURE CAISSE</t>
  </si>
  <si>
    <t>Caisse</t>
  </si>
  <si>
    <t>OUVERTURE CCP</t>
  </si>
  <si>
    <t>CCP</t>
  </si>
  <si>
    <t>OUVERTURE Capital</t>
  </si>
  <si>
    <t>Capital</t>
  </si>
  <si>
    <t>Vente livres</t>
  </si>
  <si>
    <t>Achats</t>
  </si>
  <si>
    <t>Achat livres</t>
  </si>
  <si>
    <t>Salaires</t>
  </si>
  <si>
    <t>Vente</t>
  </si>
  <si>
    <t>Ouverture</t>
  </si>
  <si>
    <t>Salaire</t>
  </si>
  <si>
    <t>Fermeture</t>
  </si>
  <si>
    <t>Fixpoint queries</t>
  </si>
  <si>
    <t>employee</t>
  </si>
  <si>
    <t>manager</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</si>
  <si>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</si>
  <si>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</si>
  <si>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</si>
  <si>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</si>
  <si>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</si>
  <si>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</si>
  <si>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</si>
  <si>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</si>
  <si>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</si>
  <si>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</si>
  <si>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</si>
  <si>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</si>
  <si>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</si>
  <si>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</si>
  <si>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</si>
  <si>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</si>
  <si>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</si>
  <si>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</si>
  <si>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from</t>
  </si>
  <si>
    <t>to</t>
  </si>
  <si>
    <t>departure</t>
  </si>
  <si>
    <t>destination</t>
  </si>
  <si>
    <t>ZRH</t>
  </si>
  <si>
    <t>GVA</t>
  </si>
  <si>
    <t>07H00</t>
  </si>
  <si>
    <t>07H30</t>
  </si>
  <si>
    <t>08H00</t>
  </si>
  <si>
    <t>08H30</t>
  </si>
  <si>
    <t>CPX</t>
  </si>
  <si>
    <t>09H30</t>
  </si>
  <si>
    <t>NIC</t>
  </si>
  <si>
    <t>09H00</t>
  </si>
  <si>
    <t>11H00</t>
  </si>
  <si>
    <t>10H00</t>
  </si>
  <si>
    <t>11H30</t>
  </si>
  <si>
    <t>Unit Test</t>
  </si>
  <si>
    <t>x</t>
  </si>
  <si>
    <t>y</t>
  </si>
  <si>
    <t>Formula</t>
  </si>
  <si>
    <t>Result</t>
  </si>
  <si>
    <t>Test</t>
  </si>
  <si>
    <t>Expected Value</t>
  </si>
  <si>
    <t>comment</t>
  </si>
  <si>
    <t>is not range</t>
  </si>
  <si>
    <t>pid::pname::price</t>
  </si>
  <si>
    <t>returns always false, so zero rows</t>
  </si>
  <si>
    <t>X not in relation, so zero rows</t>
  </si>
  <si>
    <t>text coerced number will be "0"</t>
  </si>
  <si>
    <t>empty relation</t>
  </si>
  <si>
    <t>is not string</t>
  </si>
  <si>
    <t>pid::pname
1::Sony</t>
  </si>
  <si>
    <t>pid::pname</t>
  </si>
  <si>
    <t>pid::pname 
1::Sony</t>
  </si>
  <si>
    <t>#ERROR CONDITION LINE  5 : =(VALUE("x")&lt;4)</t>
  </si>
  <si>
    <t/>
  </si>
  <si>
    <t>no column</t>
  </si>
  <si>
    <t>#ERROR LIST EMPTY</t>
  </si>
  <si>
    <t>space column</t>
  </si>
  <si>
    <t>#ERROR COLUMN: blabla</t>
  </si>
  <si>
    <t>count of empty value 0</t>
  </si>
  <si>
    <t>#ERROR NUMERIC HEADER</t>
  </si>
  <si>
    <t>#ERROR CALCULATION LINE  2 : =("Hard drive"blabla")</t>
  </si>
  <si>
    <t>#ERROR CALCULATION LINE  2 : =(1/0)</t>
  </si>
  <si>
    <t>id::blabla::c2</t>
  </si>
  <si>
    <t>#ERROR ARITY :  3 &lt;&gt; 2</t>
  </si>
  <si>
    <t>#ERROR FIELD NOT MATCH foo</t>
  </si>
  <si>
    <t>foo</t>
  </si>
  <si>
    <t>#ERROR FIELD NOT MATCH Panasonic</t>
  </si>
  <si>
    <t>pid_1::pname_1::price 
_x000D_1_1::Hard drive_1::240 
_x000D_2_1::Memory_1::120 
_x000D_3_1::ZIP drive_1::150 
_x000D_4_1::Floppy disk_1::5 
_x000D_5_1::Monitor_1::240 
_x000D_6_1::DVD drive_1::180 
_x000D_7_1::CD drive_1::90 
_x000D_8_1::Printer_1::270 
_x000D_9_1::Toner cartridge_1::66 
_x000D_10_1::DVD burner_1::180_1::pid_2::pname_2::price 
_x000D_1_2::Hard drive_2::240 
_x000D_2_2::Memory_2::120 
_x000D_3_2::ZIP drive_2::150 
_x000D_4_2::Floppy disk_2::5 
_x000D_5_2::Monitor_2::240 
_x000D_6_2::DVD drive_2::180 
_x000D_7_2::CD drive_2::90 
_x000D_8_2::Printer_2::270 
_x000D_9_2::Toner cartridge_2::66 
_x000D_10_2::DVD burner_2::180_2</t>
  </si>
  <si>
    <t>pid::pname::price::eid::ename 
_x000D_1::Hard drive::240::1::Sony 
_x000D_2::Memory::120::2::Creative Labs 
_x000D_3::ZIP drive::150::3::Hewlett Packard 
_x000D_4::Floppy disk::5::4::Iomega 
_x000D_5::Monitor::240::5::Fujitsu 
_x000D_6::DVD drive::180::6::Winchester</t>
  </si>
  <si>
    <t>eid::ename 
_x000D_2::Creative Labs 
_x000D_3::Hewlett Packard 
_x000D_4::Iomega</t>
  </si>
  <si>
    <t>#ERROR CONDITION LINE  2/ 2 : =(blabla)</t>
  </si>
  <si>
    <t>pid::pname::price::eid::ename</t>
  </si>
  <si>
    <t>ERROR COLUMN blabla</t>
  </si>
  <si>
    <t>Unlike other Excel solutions, Relation for Excel one is purely functional, not using macros.</t>
  </si>
  <si>
    <t>Relations are saved as text in one cell with :: als field and newline (CRLF) as row separator. If a cell has an internal newline, LF is used.</t>
  </si>
  <si>
    <t>Note that in a cell, the text cannot be more than 32k characters. If the result is longer, a hash is displayed for the result which is only stored internally</t>
  </si>
  <si>
    <t>Starting with 3.00, there is also a SQL function, that can read directly queries in SQL.</t>
  </si>
  <si>
    <t>You can chain relation instructions with the relFilter function</t>
  </si>
  <si>
    <t>manufacturers</t>
  </si>
  <si>
    <t>Relation for Excel works only on sets of unique rows. Empty rows and duplicated lines are ignored.</t>
  </si>
  <si>
    <t>Columns are separated by ::. You can also aggregate directly in project with COUNT, SUM, AVG, MIN, MAX, MEDIAN, STDEV</t>
  </si>
  <si>
    <t xml:space="preserve">relSql applies directly SQL queries to tables in Excel. </t>
  </si>
  <si>
    <t>relSql is a high level approach. The language is declarative and more widely used than the relational language which is imperative.</t>
  </si>
  <si>
    <t>The supported syntax is</t>
  </si>
  <si>
    <t>query</t>
  </si>
  <si>
    <t>columnlist</t>
  </si>
  <si>
    <t>* | (name | expression AS name (, name | expression AS name)*)</t>
  </si>
  <si>
    <t>expression</t>
  </si>
  <si>
    <t>SELECT columnlist FROM name (join)* (selection)? (having)? (order)?</t>
  </si>
  <si>
    <t>[A-Za-z][A-Za-z_0-9]*</t>
  </si>
  <si>
    <t>string</t>
  </si>
  <si>
    <t>([^']|'')*'</t>
  </si>
  <si>
    <t>number</t>
  </si>
  <si>
    <t>[0-9][0-9\.]*</t>
  </si>
  <si>
    <t>operator</t>
  </si>
  <si>
    <t>join</t>
  </si>
  <si>
    <t>(NATURAL|LEFT|RIGHT|OUTER) JOIN name (ON expression)</t>
  </si>
  <si>
    <t>selection</t>
  </si>
  <si>
    <t>WHERE expression</t>
  </si>
  <si>
    <t>having</t>
  </si>
  <si>
    <t>HAVING expression</t>
  </si>
  <si>
    <t>order</t>
  </si>
  <si>
    <t>ORDER BY namelist</t>
  </si>
  <si>
    <t>namelist</t>
  </si>
  <si>
    <t>name (ASC|DESC)? (, name (ASC|DESC))*</t>
  </si>
  <si>
    <t xml:space="preserve">relSql respects relational algebra, there are no duplicate or empty rows. </t>
  </si>
  <si>
    <t>(name | string | number | operator | function) +</t>
  </si>
  <si>
    <t>function</t>
  </si>
  <si>
    <t>name [(] expression (, expression)* [)]</t>
  </si>
  <si>
    <t>relSql has no GROUP command. Grouping is done automatically based on expression</t>
  </si>
  <si>
    <t>Functions and aggregators can be mixed. However, there can be only one single aggregator in the expression</t>
  </si>
  <si>
    <t>relSql uses single quotes.</t>
  </si>
  <si>
    <t>As relation, relSql has no types for columns. Instead of % and $, ist defines the type based on the context of the expression</t>
  </si>
  <si>
    <t>On comparisons, it is assumed that strings &gt; numbers &gt; empty string</t>
  </si>
  <si>
    <t>relSql integrates with the other functions. The result can be reused by relFilter for example.</t>
  </si>
  <si>
    <t>The frirst argument is the query. The following arguments are the tables t1 - t9 used in the query.</t>
  </si>
  <si>
    <t>A cell cannot have more than 32K characters. If the result is longer, only a hash of the result is returned. However, this hash can be reused as reference by other functions.</t>
  </si>
  <si>
    <t>Relation for Excel 3.0</t>
  </si>
  <si>
    <t>[-+*/()&amp;&lt;&gt;=]|OR|AND|NOT|IN</t>
  </si>
  <si>
    <t>For each exercise, the solution with relFilter and relSql is presented.</t>
  </si>
  <si>
    <t>departmentlist</t>
  </si>
  <si>
    <t>employeelist</t>
  </si>
  <si>
    <t>warehouselist</t>
  </si>
  <si>
    <t>boxlist</t>
  </si>
  <si>
    <t>pieces</t>
  </si>
  <si>
    <t>providers</t>
  </si>
  <si>
    <t>An SQL subquery can be either placed in a separate cell above or added as another relSql function inside the formula.</t>
  </si>
  <si>
    <t>Subqueries are not supported by the syntax: Use either separate cells or integrate the relSql function as parameter in another relSql function.</t>
  </si>
  <si>
    <t>Limit is not supported by the syntax. Use relLimit</t>
  </si>
  <si>
    <t>Some SQL queries</t>
  </si>
  <si>
    <t>SQL</t>
  </si>
  <si>
    <t>relSql</t>
  </si>
  <si>
    <t>relParseSql</t>
  </si>
  <si>
    <t>NB: You need a subquery in relSQL because you cannot have an aggregation in a having clause directly</t>
  </si>
  <si>
    <t>NB: Instead of a subquery, you just can use relProject to remove unwanted columns</t>
  </si>
  <si>
    <t>NB: Limit is not supported by relSql</t>
  </si>
  <si>
    <t>pid::pname::price _x000D_
1::Hard drive::240 _x000D_
2::Memory::120 _x000D_
3::ZIP drive::150 _x000D_
4::Floppy disk::5 _x000D_
5::Monitor::240 _x000D_
6::DVD drive::180 _x000D_
7::CD drive::90 _x000D_
8::Printer::270 _x000D_
9::Toner cartridge::66 _x000D_
10::DVD burner::180</t>
  </si>
  <si>
    <t>eid::ename _x000D_
1::Sony _x000D_
2::Creative Labs _x000D_
3::Hewlett Packard _x000D_
4::Iomega _x000D_
5::Fujitsu _x000D_
6::Winchester</t>
  </si>
  <si>
    <t>eid::ename _x000D_
2::Creative Labs _x000D_
3::Hewlett Packard _x000D_
4::Iomega _x000D_
x::Fujitsu _x000D_
y::Winchester</t>
  </si>
  <si>
    <t>pid::pname::price _x000D_
1::Hard drive::240 _x000D_
2::Memory::120 _x000D_
3::ZIP drive::150</t>
  </si>
  <si>
    <t>eid::ename _x000D_
2::Creative Labs _x000D_
3::Hewlett Packard _x000D_
x::Fujitsu _x000D_
y::Winchester</t>
  </si>
  <si>
    <t>eid::ename _x000D_
3::Hewlett Packard _x000D_
4::Iomega</t>
  </si>
  <si>
    <t>pid::pname::price _x000D_
5::Monitor::240</t>
  </si>
  <si>
    <t>pid::pname _x000D_
1::Hard drive _x000D_
2::Memory _x000D_
3::ZIP drive _x000D_
4::Floppy disk _x000D_
5::Monitor _x000D_
6::DVD drive _x000D_
7::CD drive _x000D_
8::Printer _x000D_
9::Toner cartridge _x000D_
10::DVD burner</t>
  </si>
  <si>
    <t>price::pname _x000D_
240::Hard drive _x000D_
120::Memory _x000D_
150::ZIP drive _x000D_
5::Floppy disk _x000D_
240::Monitor _x000D_
180::DVD drive _x000D_
90::CD drive _x000D_
270::Printer _x000D_
66::Toner cartridge _x000D_
180::DVD burner</t>
  </si>
  <si>
    <t>price_sum _x000D_
1541</t>
  </si>
  <si>
    <t>1_count _x000D_
0</t>
  </si>
  <si>
    <t>pid::pname::price::pid2 _x000D_
1::Hard drive::240::2 _x000D_
2::Memory::120::4 _x000D_
3::ZIP drive::150::6 _x000D_
4::Floppy disk::5::8 _x000D_
5::Monitor::240::10 _x000D_
6::DVD drive::180::12 _x000D_
7::CD drive::90::14 _x000D_
8::Printer::270::16 _x000D_
9::Toner cartridge::66::18 _x000D_
10::DVD burner::180::20</t>
  </si>
  <si>
    <t>pid::pname::price::c3 _x000D_
1::Hard drive::240::.22 _x000D_
2::Memory::120::.44 _x000D_
3::ZIP drive::150::.66 _x000D_
4::Floppy disk::5::.88 _x000D_
5::Monitor::240::1.1 _x000D_
6::DVD drive::180::1.32 _x000D_
7::CD drive::90::1.54 _x000D_
8::Printer::270::1.76 _x000D_
9::Toner cartridge::66::1.98 _x000D_
10::DVD burner::180::2.2</t>
  </si>
  <si>
    <t>eid::ename _x000D_
1::Sony _x000D_
2::Creative Labs _x000D_
3::Hewlett Packard _x000D_
4::Iomega _x000D_
5::Fujitsu _x000D_
6::Winchester _x000D_
x::Fujitsu _x000D_
y::Winchester</t>
  </si>
  <si>
    <t>eid::ename _x000D_
1::Sony _x000D_
5::Fujitsu _x000D_
6::Winchester</t>
  </si>
  <si>
    <t>pid::pname::price::eid::ename _x000D_
1::Hard drive::240::1::Sony _x000D_
1::Hard drive::240::2::Creative Labs _x000D_
1::Hard drive::240::3::Hewlett Packard _x000D_
1::Hard drive::240::4::Iomega _x000D_
1::Hard drive::240::5::Fujitsu _x000D_
1::Hard drive::240::6::Winchester _x000D_
2::Memory::120::1::Sony _x000D_
2::Memory::120::2::Creative Labs _x000D_
2::Memory::120::3::Hewlett Packard _x000D_
2::Memory::120::4::Iomega _x000D_
2::Memory::120::5::Fujitsu _x000D_
2::Memory::120::6::Winchester _x000D_
3::ZIP drive::150::1::Sony _x000D_
3::ZIP drive::150::2::Creative Labs _x000D_
3::ZIP drive::150::3::Hewlett Packard _x000D_
3::ZIP drive::150::4::Iomega _x000D_
3::ZIP drive::150::5::Fujitsu _x000D_
3::ZIP drive::150::6::Winchester _x000D_
4::Floppy disk::5::1::Sony _x000D_
4::Floppy disk::5::2::Creative Labs _x000D_
4::Floppy disk::5::3::Hewlett Packard _x000D_
4::Floppy disk::5::4::Iomega _x000D_
4::Floppy disk::5::5::Fujitsu _x000D_
4::Floppy disk::5::6::Winchester _x000D_
5::Monitor::240::1::Sony _x000D_
5::Monitor::240::2::Creative Labs _x000D_
5::Monitor::240::3::Hewlett Packard _x000D_
5::Monitor::240::4::Iomega _x000D_
5::Monitor::240::5::Fujitsu _x000D_
5::Monitor::240::6::Winchester _x000D_
6::DVD drive::180::1::Sony _x000D_
6::DVD drive::180::2::Creative Labs _x000D_
6::DVD drive::180::3::Hewlett Packard _x000D_
6::DVD drive::180::4::Iomega _x000D_
6::DVD drive::180::5::Fujitsu _x000D_
6::DVD drive::180::6::Winchester _x000D_
7::CD drive::90::1::Sony _x000D_
7::CD drive::90::2::Creative Labs _x000D_
7::CD drive::90::3::Hewlett Packard _x000D_
7::CD drive::90::4::Iomega _x000D_
7::CD drive::90::5::Fujitsu _x000D_
7::CD drive::90::6::Winchester _x000D_
8::Printer::270::1::Sony _x000D_
8::Printer::270::2::Creative Labs _x000D_
8::Printer::270::3::Hewlett Packard _x000D_
8::Printer::270::4::Iomega _x000D_
8::Printer::270::5::Fujitsu _x000D_
8::Printer::270::6::Winchester _x000D_
9::Toner cartridge::66::1::Sony _x000D_
9::Toner cartridge::66::2::Creative Labs _x000D_
9::Toner cartridge::66::3::Hewlett Packard _x000D_
9::Toner cartridge::66::4::Iomega _x000D_
9::Toner cartridge::66::5::Fujitsu _x000D_
9::Toner cartridge::66::6::Winchester _x000D_
10::DVD burner::180::1::Sony _x000D_
10::DVD burner::180::2::Creative Labs _x000D_
10::DVD burner::180::3::Hewlett Packard _x000D_
10::DVD burner::180::4::Iomega _x000D_
10::DVD burner::180::5::Fujitsu _x000D_
10::DVD burner::180::6::Winchester</t>
  </si>
  <si>
    <t>pid_1::pname_1::price_1::pid_2::pname_2::price_2 _x000D_
1::Hard drive::240::1::Hard drive::240 _x000D_
1::Hard drive::240::2::Memory::120 _x000D_
1::Hard drive::240::3::ZIP drive::150 _x000D_
1::Hard drive::240::4::Floppy disk::5 _x000D_
1::Hard drive::240::5::Monitor::240 _x000D_
1::Hard drive::240::6::DVD drive::180 _x000D_
1::Hard drive::240::7::CD drive::90 _x000D_
1::Hard drive::240::8::Printer::270 _x000D_
1::Hard drive::240::9::Toner cartridge::66 _x000D_
1::Hard drive::240::10::DVD burner::180 _x000D_
2::Memory::120::1::Hard drive::240 _x000D_
2::Memory::120::2::Memory::120 _x000D_
2::Memory::120::3::ZIP drive::150 _x000D_
2::Memory::120::4::Floppy disk::5 _x000D_
2::Memory::120::5::Monitor::240 _x000D_
2::Memory::120::6::DVD drive::180 _x000D_
2::Memory::120::7::CD drive::90 _x000D_
2::Memory::120::8::Printer::270 _x000D_
2::Memory::120::9::Toner cartridge::66 _x000D_
2::Memory::120::10::DVD burner::180 _x000D_
3::ZIP drive::150::1::Hard drive::240 _x000D_
3::ZIP drive::150::2::Memory::120 _x000D_
3::ZIP drive::150::3::ZIP drive::150 _x000D_
3::ZIP drive::150::4::Floppy disk::5 _x000D_
3::ZIP drive::150::5::Monitor::240 _x000D_
3::ZIP drive::150::6::DVD drive::180 _x000D_
3::ZIP drive::150::7::CD drive::90 _x000D_
3::ZIP drive::150::8::Printer::270 _x000D_
3::ZIP drive::150::9::Toner cartridge::66 _x000D_
3::ZIP drive::150::10::DVD burner::180 _x000D_
4::Floppy disk::5::1::Hard drive::240 _x000D_
4::Floppy disk::5::2::Memory::120 _x000D_
4::Floppy disk::5::3::ZIP drive::150 _x000D_
4::Floppy disk::5::4::Floppy disk::5 _x000D_
4::Floppy disk::5::5::Monitor::240 _x000D_
4::Floppy disk::5::6::DVD drive::180 _x000D_
4::Floppy disk::5::7::CD drive::90 _x000D_
4::Floppy disk::5::8::Printer::270 _x000D_
4::Floppy disk::5::9::Toner cartridge::66 _x000D_
4::Floppy disk::5::10::DVD burner::180 _x000D_
5::Monitor::240::1::Hard drive::240 _x000D_
5::Monitor::240::2::Memory::120 _x000D_
5::Monitor::240::3::ZIP drive::150 _x000D_
5::Monitor::240::4::Floppy disk::5 _x000D_
5::Monitor::240::5::Monitor::240 _x000D_
5::Monitor::240::6::DVD drive::180 _x000D_
5::Monitor::240::7::CD drive::90 _x000D_
5::Monitor::240::8::Printer::270 _x000D_
5::Monitor::240::9::Toner cartridge::66 _x000D_
5::Monitor::240::10::DVD burner::180 _x000D_
6::DVD drive::180::1::Hard drive::240 _x000D_
6::DVD drive::180::2::Memory::120 _x000D_
6::DVD drive::180::3::ZIP drive::150 _x000D_
6::DVD drive::180::4::Floppy disk::5 _x000D_
6::DVD drive::180::5::Monitor::240 _x000D_
6::DVD drive::180::6::DVD drive::180 _x000D_
6::DVD drive::180::7::CD drive::90 _x000D_
6::DVD drive::180::8::Printer::270 _x000D_
6::DVD drive::180::9::Toner cartridge::66 _x000D_
6::DVD drive::180::10::DVD burner::180 _x000D_
7::CD drive::90::1::Hard drive::240 _x000D_
7::CD drive::90::2::Memory::120 _x000D_
7::CD drive::90::3::ZIP drive::150 _x000D_
7::CD drive::90::4::Floppy disk::5 _x000D_
7::CD drive::90::5::Monitor::240 _x000D_
7::CD drive::90::6::DVD drive::180 _x000D_
7::CD drive::90::7::CD drive::90 _x000D_
7::CD drive::90::8::Printer::270 _x000D_
7::CD drive::90::9::Toner cartridge::66 _x000D_
7::CD drive::90::10::DVD burner::180 _x000D_
8::Printer::270::1::Hard drive::240 _x000D_
8::Printer::270::2::Memory::120 _x000D_
8::Printer::270::3::ZIP drive::150 _x000D_
8::Printer::270::4::Floppy disk::5 _x000D_
8::Printer::270::5::Monitor::240 _x000D_
8::Printer::270::6::DVD drive::180 _x000D_
8::Printer::270::7::CD drive::90 _x000D_
8::Printer::270::8::Printer::270 _x000D_
8::Printer::270::9::Toner cartridge::66 _x000D_
8::Printer::270::10::DVD burner::180 _x000D_
9::Toner cartridge::66::1::Hard drive::240 _x000D_
9::Toner cartridge::66::2::Memory::120 _x000D_
9::Toner cartridge::66::3::ZIP drive::150 _x000D_
9::Toner cartridge::66::4::Floppy disk::5 _x000D_
9::Toner cartridge::66::5::Monitor::240 _x000D_
9::Toner cartridge::66::6::DVD drive::180 _x000D_
9::Toner cartridge::66::7::CD drive::90 _x000D_
9::Toner cartridge::66::8::Printer::270 _x000D_
9::Toner cartridge::66::9::Toner cartridge::66 _x000D_
9::Toner cartridge::66::10::DVD burner::180 _x000D_
10::DVD burner::180::1::Hard drive::240 _x000D_
10::DVD burner::180::2::Memory::120 _x000D_
10::DVD burner::180::3::ZIP drive::150 _x000D_
10::DVD burner::180::4::Floppy disk::5 _x000D_
10::DVD burner::180::5::Monitor::240 _x000D_
10::DVD burner::180::6::DVD drive::180 _x000D_
10::DVD burner::180::7::CD drive::90 _x000D_
10::DVD burner::180::8::Printer::270 _x000D_
10::DVD burner::180::9::Toner cartridge::66 _x000D_
10::DVD burner::180::10::DVD burner::180</t>
  </si>
  <si>
    <t>pid::pname::price _x000D_
8::Printer::270 _x000D_
1::Hard drive::240 _x000D_
5::Monitor::240 _x000D_
10::DVD burner::180 _x000D_
6::DVD drive::180 _x000D_
3::ZIP drive::150 _x000D_
2::Memory::120 _x000D_
7::CD drive::90 _x000D_
9::Toner cartridge::66 _x000D_
4::Floppy disk::5</t>
  </si>
  <si>
    <t>pname _x000D_
Hard drive _x000D_
Memory _x000D_
ZIP drive _x000D_
Floppy disk _x000D_
Monitor _x000D_
DVD drive _x000D_
CD drive _x000D_
Printer _x000D_
Toner cartridge _x000D_
DVD burner</t>
  </si>
  <si>
    <t>aid::cid::maxid::med::minid::sumid::st _x000D_
5.5::10::10:: 5.5::1::55::2.87228132326901</t>
  </si>
  <si>
    <t>a::c::e::l::s::t _x000D_
1::.54030230586814::2.71828182845905::0::.841470984807897::1.5574077246549 _x000D_
2::-.416146836547142::7.38905609893065::.693147180559945::.909297426825682::-2.18503986326152 _x000D_
3::-.989992496600445::20.0855369231877::1.09861228866811::.141120008059867::-.142546543074278 _x000D_
4::-.653643620863612::54.5981500331442::1.38629436111989::-.756802495307928::1.15782128234958 _x000D_
5::.283662185463226::148.413159102577::1.6094379124341::-.958924274663138::-3.38051500624659 _x000D_
6::.960170286650366::403.428793492735::1.79175946922805::-.279415498198926::-.291006191384749 _x000D_
7::.753902254343305::1096.63315842846::1.94591014905531::.656986598718789::.871447982724319 _x000D_
8::-.145500033808614::2980.95798704173::2.07944154167984::.989358246623382::-6.79971145522038 _x000D_
9::-.911130261884677::8103.08392757538::2.19722457733622::.412118485241757::-.45231565944181 _x000D_
10::-.839071529076452::22026.4657948067::2.30258509299405::-.54402111088937::.648360827459087</t>
  </si>
  <si>
    <t>p::pr _x000D_
240::15.4919333848297 _x000D_
14400::10.9544511501033 _x000D_
3375000::12.2474487139159 _x000D_
625::2.23606797749979 _x000D_
796262400000::15.4919333848297 _x000D_
34012224000000::13.4164078649987 _x000D_
47829690000000::9.48683298050514 _x000D_
2.82429536481E+19::16.431676725155 _x000D_
2.37626800137999E+16::8.12403840463596 _x000D_
3.570467226624E+22::13.4164078649987</t>
  </si>
  <si>
    <t>Aggregators: AVG COUNT MAX MEDIAN MIN STDEV SUM</t>
  </si>
  <si>
    <t>Numerical functions: ABS COS EXP INT LN LOG MOD POW ROUND SGN SIN SQRT TAN</t>
  </si>
  <si>
    <t>Text functions: LEFT LEN LOWER MID REPLACE RIGHT TRIM UPPER</t>
  </si>
  <si>
    <t>SQL Console</t>
  </si>
  <si>
    <t>t1</t>
  </si>
  <si>
    <t>t2</t>
  </si>
  <si>
    <t>Employees</t>
  </si>
  <si>
    <t>Orders</t>
  </si>
  <si>
    <t>t3</t>
  </si>
  <si>
    <t>Customers</t>
  </si>
  <si>
    <t>t4</t>
  </si>
  <si>
    <t>Products</t>
  </si>
  <si>
    <t>t5</t>
  </si>
  <si>
    <t>Suppliers</t>
  </si>
  <si>
    <t>SELECT</t>
  </si>
  <si>
    <t>FROM</t>
  </si>
  <si>
    <t>JOIN ON</t>
  </si>
  <si>
    <t>WHERE</t>
  </si>
  <si>
    <t>HAVING</t>
  </si>
  <si>
    <t>ORDER</t>
  </si>
  <si>
    <t>We do only distribute the xlsm file for now on. You can produce an xlam file from the module.</t>
  </si>
  <si>
    <t>relTokenizeSql</t>
  </si>
  <si>
    <t>There is  an alternative syntax with rellCellArray, where you can enter the formula for an entire range with control-shift-enter (adding curly braces)</t>
  </si>
  <si>
    <t>SELECT t2.OrderID, t2.OrderDate, t3.CustomerName AS Customer, t3.PostalCode, t3.City
FROM t2
NATURAL JOIN t3
ORDER BY OrderID 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</si>
</sst>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rial"/>
      <family val="2"/>
    </font>
    <font>
      <sz val="11"/>
      <color theme="1"/>
      <name val="Calibri"/>
      <family val="2"/>
      <scheme val="minor"/>
    </font>
    <font>
      <b/>
      <sz val="7"/>
      <color rgb="FF000000"/>
      <name val="Verdana"/>
      <family val="2"/>
    </font>
    <font>
      <sz val="7"/>
      <color rgb="FF000000"/>
      <name val="Verdana"/>
      <family val="2"/>
    </font>
    <font>
      <b/>
      <sz val="12"/>
      <color theme="1"/>
      <name val="Calibri"/>
      <family val="2"/>
      <scheme val="minor"/>
    </font>
    <font>
      <sz val="12"/>
      <color rgb="FF000000"/>
      <name val="Calibri"/>
      <family val="2"/>
      <scheme val="minor"/>
    </font>
    <font>
      <i/>
      <sz val="12"/>
      <color rgb="FF000000"/>
      <name val="Calibri"/>
      <family val="2"/>
      <scheme val="minor"/>
    </font>
    <font>
      <u/>
      <sz val="12"/>
      <color theme="10"/>
      <name val="Calibri"/>
      <family val="2"/>
      <scheme val="minor"/>
    </font>
    <font>
      <i/>
      <sz val="12"/>
      <color theme="1"/>
      <name val="Calibri"/>
      <family val="2"/>
      <scheme val="minor"/>
    </font>
    <font>
      <b/>
      <sz val="12"/>
      <color rgb="FF000000"/>
      <name val="Calibri"/>
      <family val="2"/>
      <scheme val="minor"/>
    </font>
    <font>
      <b/>
      <sz val="11"/>
      <color theme="1"/>
      <name val="Arial"/>
      <family val="2"/>
    </font>
    <font>
      <sz val="11"/>
      <color rgb="FF000000"/>
      <name val="Arial"/>
      <family val="2"/>
    </font>
    <font>
      <i/>
      <sz val="11"/>
      <color theme="1"/>
      <name val="Arial"/>
      <family val="2"/>
    </font>
    <font>
      <u/>
      <sz val="11"/>
      <color theme="10"/>
      <name val="Calibri"/>
      <family val="2"/>
      <scheme val="minor"/>
    </font>
  </fonts>
  <fills count="7">
    <fill>
      <patternFill patternType="none"/>
    </fill>
    <fill>
      <patternFill patternType="gray125"/>
    </fill>
    <fill>
      <patternFill patternType="solid">
        <fgColor rgb="FFFFC000"/>
        <bgColor indexed="64"/>
      </patternFill>
    </fill>
    <fill>
      <patternFill patternType="solid">
        <fgColor rgb="FFFFFFFF"/>
        <bgColor indexed="64"/>
      </patternFill>
    </fill>
    <fill>
      <patternFill patternType="solid">
        <fgColor rgb="FFE7E9EB"/>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right/>
      <top/>
      <bottom style="medium">
        <color rgb="FFDDDDDD"/>
      </bottom>
      <diagonal/>
    </border>
    <border>
      <left style="medium">
        <color rgb="FFCCCCCC"/>
      </left>
      <right/>
      <top style="medium">
        <color rgb="FFCCCCCC"/>
      </top>
      <bottom style="medium">
        <color rgb="FFDDDDDD"/>
      </bottom>
      <diagonal/>
    </border>
    <border>
      <left/>
      <right/>
      <top style="medium">
        <color rgb="FFCCCCCC"/>
      </top>
      <bottom style="medium">
        <color rgb="FFDDDDDD"/>
      </bottom>
      <diagonal/>
    </border>
    <border>
      <left/>
      <right style="medium">
        <color rgb="FFCCCCCC"/>
      </right>
      <top style="medium">
        <color rgb="FFCCCCCC"/>
      </top>
      <bottom style="medium">
        <color rgb="FFDDDDDD"/>
      </bottom>
      <diagonal/>
    </border>
    <border>
      <left style="medium">
        <color rgb="FFCCCCCC"/>
      </left>
      <right/>
      <top/>
      <bottom style="medium">
        <color rgb="FFDDDDDD"/>
      </bottom>
      <diagonal/>
    </border>
    <border>
      <left/>
      <right style="medium">
        <color rgb="FFCCCCCC"/>
      </right>
      <top/>
      <bottom style="medium">
        <color rgb="FFDDDDDD"/>
      </bottom>
      <diagonal/>
    </border>
    <border>
      <left style="medium">
        <color rgb="FFCCCCCC"/>
      </left>
      <right/>
      <top/>
      <bottom style="medium">
        <color rgb="FFCCCCCC"/>
      </bottom>
      <diagonal/>
    </border>
    <border>
      <left/>
      <right/>
      <top/>
      <bottom style="medium">
        <color rgb="FFCCCCCC"/>
      </bottom>
      <diagonal/>
    </border>
    <border>
      <left/>
      <right style="medium">
        <color rgb="FFCCCCCC"/>
      </right>
      <top/>
      <bottom style="medium">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
    <xf numFmtId="0" fontId="0" fillId="0" borderId="0"/>
    <xf numFmtId="0" fontId="1" fillId="0" borderId="0"/>
    <xf numFmtId="0" fontId="7" fillId="0" borderId="0" applyNumberFormat="0" applyFill="0" applyBorder="0" applyAlignment="0" applyProtection="0"/>
    <xf numFmtId="0" fontId="13" fillId="0" borderId="0" applyNumberFormat="0" applyFill="0" applyBorder="0" applyAlignment="0" applyProtection="0"/>
  </cellStyleXfs>
  <cellXfs count="73">
    <xf numFmtId="0" fontId="0" fillId="0" borderId="0" xfId="0"/>
    <xf numFmtId="0" fontId="3" fillId="4"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3" fillId="4" borderId="5" xfId="0" applyFont="1" applyFill="1" applyBorder="1" applyAlignment="1">
      <alignment horizontal="left" vertical="top" wrapText="1"/>
    </xf>
    <xf numFmtId="0" fontId="3" fillId="4" borderId="6"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4" borderId="7" xfId="0" applyFont="1" applyFill="1" applyBorder="1" applyAlignment="1">
      <alignment horizontal="left" vertical="top" wrapText="1"/>
    </xf>
    <xf numFmtId="0" fontId="3" fillId="4" borderId="8" xfId="0" applyFont="1" applyFill="1" applyBorder="1" applyAlignment="1">
      <alignment horizontal="left" vertical="top" wrapText="1"/>
    </xf>
    <xf numFmtId="0" fontId="3" fillId="4" borderId="9" xfId="0" applyFont="1" applyFill="1" applyBorder="1" applyAlignment="1">
      <alignment horizontal="left" vertical="top" wrapText="1"/>
    </xf>
    <xf numFmtId="14" fontId="3" fillId="4" borderId="1" xfId="0" applyNumberFormat="1" applyFont="1" applyFill="1" applyBorder="1" applyAlignment="1">
      <alignment horizontal="left" vertical="top" wrapText="1"/>
    </xf>
    <xf numFmtId="14" fontId="3" fillId="3" borderId="1" xfId="0" applyNumberFormat="1"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14" fontId="3" fillId="3" borderId="8" xfId="0" applyNumberFormat="1" applyFont="1" applyFill="1" applyBorder="1" applyAlignment="1">
      <alignment horizontal="left" vertical="top" wrapText="1"/>
    </xf>
    <xf numFmtId="0" fontId="3" fillId="3" borderId="9" xfId="0" applyFont="1" applyFill="1" applyBorder="1" applyAlignment="1">
      <alignment horizontal="left" vertical="top" wrapText="1"/>
    </xf>
    <xf numFmtId="0" fontId="0" fillId="0" borderId="0" xfId="0" applyAlignment="1">
      <alignment vertical="top" wrapText="1"/>
    </xf>
    <xf numFmtId="0" fontId="0" fillId="0" borderId="0" xfId="0" applyAlignment="1">
      <alignment vertical="top"/>
    </xf>
    <xf numFmtId="0" fontId="0" fillId="2" borderId="0" xfId="0" applyFill="1" applyAlignment="1">
      <alignment vertical="top" wrapText="1"/>
    </xf>
    <xf numFmtId="0" fontId="0" fillId="2" borderId="0" xfId="0" applyFill="1" applyAlignment="1">
      <alignment vertical="top"/>
    </xf>
    <xf numFmtId="0" fontId="0" fillId="0" borderId="0" xfId="0" applyAlignment="1">
      <alignment wrapText="1"/>
    </xf>
    <xf numFmtId="0" fontId="4" fillId="0" borderId="0" xfId="0" applyFont="1"/>
    <xf numFmtId="0" fontId="5" fillId="0" borderId="0" xfId="0" applyFont="1"/>
    <xf numFmtId="0" fontId="0" fillId="0" borderId="0" xfId="0" applyFont="1"/>
    <xf numFmtId="0" fontId="0" fillId="0" borderId="0" xfId="0" applyAlignment="1">
      <alignment horizontal="left" vertical="top" wrapText="1"/>
    </xf>
    <xf numFmtId="0" fontId="5" fillId="0" borderId="0" xfId="0" applyFont="1" applyAlignment="1">
      <alignment vertical="top" wrapText="1"/>
    </xf>
    <xf numFmtId="0" fontId="5" fillId="0" borderId="0" xfId="0" applyFont="1" applyAlignment="1">
      <alignment wrapText="1"/>
    </xf>
    <xf numFmtId="0" fontId="6" fillId="0" borderId="0" xfId="0" applyFont="1"/>
    <xf numFmtId="0" fontId="7" fillId="0" borderId="0" xfId="2"/>
    <xf numFmtId="14" fontId="0" fillId="0" borderId="0" xfId="0" applyNumberFormat="1" applyAlignment="1">
      <alignment horizontal="left"/>
    </xf>
    <xf numFmtId="0" fontId="8" fillId="0" borderId="0" xfId="0" applyFont="1"/>
    <xf numFmtId="16" fontId="0" fillId="0" borderId="0" xfId="0" applyNumberFormat="1"/>
    <xf numFmtId="0" fontId="0" fillId="0" borderId="0" xfId="0" applyFill="1" applyAlignment="1">
      <alignment vertical="top" wrapText="1"/>
    </xf>
    <xf numFmtId="0" fontId="9" fillId="0" borderId="0" xfId="0" applyFont="1"/>
    <xf numFmtId="0" fontId="0" fillId="0" borderId="0" xfId="0" applyFont="1" applyAlignment="1">
      <alignment vertical="top" wrapText="1"/>
    </xf>
    <xf numFmtId="0" fontId="4" fillId="0" borderId="0" xfId="0" applyFont="1" applyAlignment="1">
      <alignment wrapText="1"/>
    </xf>
    <xf numFmtId="0" fontId="8" fillId="0" borderId="0" xfId="0" applyFont="1" applyAlignment="1">
      <alignment vertical="top" wrapText="1"/>
    </xf>
    <xf numFmtId="0" fontId="0" fillId="0" borderId="0" xfId="0" applyAlignment="1"/>
    <xf numFmtId="14" fontId="0" fillId="0" borderId="0" xfId="0" applyNumberFormat="1"/>
    <xf numFmtId="2" fontId="0" fillId="0" borderId="0" xfId="0" applyNumberFormat="1"/>
    <xf numFmtId="0" fontId="5" fillId="0" borderId="0" xfId="0" applyFont="1" applyAlignment="1"/>
    <xf numFmtId="0" fontId="0" fillId="0" borderId="0" xfId="0" applyFont="1" applyAlignment="1"/>
    <xf numFmtId="0" fontId="0" fillId="0" borderId="10" xfId="0" applyBorder="1"/>
    <xf numFmtId="0" fontId="11" fillId="0" borderId="0" xfId="0" applyFont="1" applyAlignment="1">
      <alignment vertical="top" wrapText="1"/>
    </xf>
    <xf numFmtId="0" fontId="0" fillId="0" borderId="0" xfId="0" quotePrefix="1"/>
    <xf numFmtId="0" fontId="8" fillId="0" borderId="0" xfId="0" applyFont="1" applyAlignment="1">
      <alignment wrapText="1"/>
    </xf>
    <xf numFmtId="0" fontId="0" fillId="0" borderId="0" xfId="0" applyFill="1" applyAlignment="1">
      <alignment vertical="top"/>
    </xf>
    <xf numFmtId="0" fontId="12" fillId="0" borderId="0" xfId="0" applyFont="1" applyAlignment="1">
      <alignment vertical="top" wrapText="1"/>
    </xf>
    <xf numFmtId="0" fontId="0" fillId="0" borderId="0" xfId="0" applyFont="1" applyFill="1" applyAlignment="1">
      <alignment vertical="top" wrapText="1"/>
    </xf>
    <xf numFmtId="2" fontId="0" fillId="0" borderId="10" xfId="0" applyNumberFormat="1" applyBorder="1"/>
    <xf numFmtId="0" fontId="10" fillId="0" borderId="0" xfId="0" applyFont="1" applyAlignment="1">
      <alignment vertical="top"/>
    </xf>
    <xf numFmtId="0" fontId="10" fillId="0" borderId="0" xfId="0" applyFont="1" applyAlignment="1">
      <alignment vertical="top" wrapText="1"/>
    </xf>
    <xf numFmtId="0" fontId="10" fillId="0" borderId="0" xfId="0" applyFont="1"/>
    <xf numFmtId="0" fontId="10" fillId="0" borderId="0" xfId="0" applyFont="1" applyAlignment="1">
      <alignment wrapText="1"/>
    </xf>
    <xf numFmtId="0" fontId="12" fillId="0" borderId="0" xfId="0" applyFont="1"/>
    <xf numFmtId="0" fontId="12" fillId="0" borderId="0" xfId="0" applyFont="1" applyAlignment="1">
      <alignment horizontal="left" vertical="top" wrapText="1"/>
    </xf>
    <xf numFmtId="0" fontId="12" fillId="0" borderId="0" xfId="0" applyFont="1" applyAlignment="1">
      <alignment vertical="top"/>
    </xf>
    <xf numFmtId="0" fontId="4" fillId="0" borderId="0" xfId="0" applyFont="1" applyFill="1"/>
    <xf numFmtId="0" fontId="10" fillId="0" borderId="10" xfId="0" applyFont="1" applyBorder="1"/>
    <xf numFmtId="0" fontId="10" fillId="5" borderId="11" xfId="0" applyFont="1" applyFill="1" applyBorder="1" applyAlignment="1">
      <alignment horizontal="left" vertical="center" wrapText="1"/>
    </xf>
    <xf numFmtId="0" fontId="10" fillId="5" borderId="12" xfId="0" applyFont="1" applyFill="1" applyBorder="1" applyAlignment="1">
      <alignment horizontal="left" vertical="center"/>
    </xf>
    <xf numFmtId="0" fontId="10" fillId="5" borderId="13" xfId="0" applyFont="1" applyFill="1" applyBorder="1" applyAlignment="1">
      <alignment horizontal="left" vertical="center"/>
    </xf>
    <xf numFmtId="0" fontId="10" fillId="5" borderId="14" xfId="0" applyFont="1" applyFill="1" applyBorder="1" applyAlignment="1">
      <alignment horizontal="left" vertical="center"/>
    </xf>
    <xf numFmtId="0" fontId="10" fillId="5" borderId="0" xfId="0" applyFont="1" applyFill="1" applyBorder="1" applyAlignment="1">
      <alignment horizontal="left" vertical="center"/>
    </xf>
    <xf numFmtId="0" fontId="10" fillId="5" borderId="15"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8" xfId="0" applyFont="1" applyFill="1" applyBorder="1" applyAlignment="1">
      <alignment horizontal="left" vertical="center"/>
    </xf>
    <xf numFmtId="0" fontId="10" fillId="6" borderId="0" xfId="0" applyFont="1" applyFill="1"/>
    <xf numFmtId="0" fontId="0" fillId="6" borderId="0" xfId="0" applyFill="1"/>
  </cellXfs>
  <cellStyles count="4">
    <cellStyle name="Hyperlink" xfId="2" builtinId="8"/>
    <cellStyle name="Link 2" xfId="3" xr:uid="{00000000-0005-0000-0000-000001000000}"/>
    <cellStyle name="Normal" xfId="0" builtinId="0"/>
    <cellStyle name="Standard 4" xfId="1" xr:uid="{00000000-0005-0000-0000-000003000000}"/>
  </cellStyles>
  <dxfs count="3">
    <dxf>
      <fill>
        <patternFill patternType="solid">
          <fgColor theme="0" tint="-0.14999847407452621"/>
          <bgColor theme="0" tint="-4.9989318521683403E-2"/>
        </patternFill>
      </fill>
    </dxf>
    <dxf>
      <fill>
        <patternFill patternType="solid">
          <fgColor indexed="64"/>
          <bgColor theme="4" tint="0.7999816888943144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theme="1"/>
      </font>
      <border>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s>
  <tableStyles count="1" defaultTableStyle="TableStyleMedium2" defaultPivotStyle="PivotStyleLight16">
    <tableStyle name="Simple" pivot="0" count="3" xr9:uid="{00000000-0011-0000-FFFF-FFFF00000000}">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atti@belle-nuit.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J174"/>
  <sheetViews>
    <sheetView topLeftCell="A63" workbookViewId="0">
      <selection activeCell="A81" sqref="A81"/>
    </sheetView>
  </sheetViews>
  <sheetFormatPr baseColWidth="10" defaultRowHeight="14"/>
  <cols>
    <col min="4" max="4" width="33.6640625" customWidth="1"/>
    <col min="7" max="7" width="31" customWidth="1"/>
    <col min="8" max="8" width="16.5" customWidth="1"/>
    <col min="9" max="9" width="12.1640625" customWidth="1"/>
  </cols>
  <sheetData>
    <row r="1" spans="1:9" ht="16">
      <c r="A1" s="24" t="s">
        <v>1152</v>
      </c>
    </row>
    <row r="2" spans="1:9" ht="16">
      <c r="A2" s="25" t="s">
        <v>778</v>
      </c>
    </row>
    <row r="3" spans="1:9" ht="16">
      <c r="A3" s="25" t="s">
        <v>779</v>
      </c>
    </row>
    <row r="4" spans="1:9" ht="16">
      <c r="A4" s="25" t="s">
        <v>780</v>
      </c>
    </row>
    <row r="5" spans="1:9" ht="16">
      <c r="A5" s="25" t="s">
        <v>1108</v>
      </c>
    </row>
    <row r="6" spans="1:9" ht="16">
      <c r="A6" s="25" t="s">
        <v>1109</v>
      </c>
    </row>
    <row r="7" spans="1:9" ht="16">
      <c r="A7" s="25" t="s">
        <v>1110</v>
      </c>
    </row>
    <row r="8" spans="1:9" ht="16">
      <c r="A8" s="25" t="s">
        <v>1112</v>
      </c>
    </row>
    <row r="9" spans="1:9" ht="16">
      <c r="A9" s="25" t="s">
        <v>1111</v>
      </c>
    </row>
    <row r="11" spans="1:9">
      <c r="A11" t="s">
        <v>781</v>
      </c>
    </row>
    <row r="13" spans="1:9" ht="16">
      <c r="A13" s="24" t="s">
        <v>782</v>
      </c>
      <c r="C13" s="24" t="s">
        <v>783</v>
      </c>
      <c r="D13" s="24"/>
      <c r="F13" s="24" t="s">
        <v>784</v>
      </c>
      <c r="G13" s="24"/>
    </row>
    <row r="14" spans="1:9">
      <c r="C14" s="45" t="s">
        <v>785</v>
      </c>
      <c r="D14" s="45" t="s">
        <v>786</v>
      </c>
      <c r="F14" s="45" t="s">
        <v>785</v>
      </c>
      <c r="G14" s="45" t="s">
        <v>786</v>
      </c>
      <c r="H14" s="45" t="s">
        <v>787</v>
      </c>
      <c r="I14" s="45" t="s">
        <v>788</v>
      </c>
    </row>
    <row r="15" spans="1:9">
      <c r="C15" s="45">
        <v>1</v>
      </c>
      <c r="D15" s="45" t="s">
        <v>789</v>
      </c>
      <c r="F15" s="45">
        <v>1</v>
      </c>
      <c r="G15" s="45" t="s">
        <v>790</v>
      </c>
      <c r="H15" s="45">
        <v>240</v>
      </c>
      <c r="I15" s="45">
        <v>5</v>
      </c>
    </row>
    <row r="16" spans="1:9">
      <c r="C16" s="45">
        <v>2</v>
      </c>
      <c r="D16" s="45" t="s">
        <v>791</v>
      </c>
      <c r="F16" s="45">
        <v>2</v>
      </c>
      <c r="G16" s="45" t="s">
        <v>792</v>
      </c>
      <c r="H16" s="45">
        <v>120</v>
      </c>
      <c r="I16" s="45">
        <v>6</v>
      </c>
    </row>
    <row r="17" spans="1:10">
      <c r="C17" s="45">
        <v>3</v>
      </c>
      <c r="D17" s="45" t="s">
        <v>793</v>
      </c>
      <c r="F17" s="45">
        <v>3</v>
      </c>
      <c r="G17" s="45" t="s">
        <v>794</v>
      </c>
      <c r="H17" s="45">
        <v>150</v>
      </c>
      <c r="I17" s="45">
        <v>4</v>
      </c>
    </row>
    <row r="18" spans="1:10">
      <c r="C18" s="45">
        <v>4</v>
      </c>
      <c r="D18" s="45" t="s">
        <v>795</v>
      </c>
      <c r="F18" s="45">
        <v>4</v>
      </c>
      <c r="G18" s="45" t="s">
        <v>796</v>
      </c>
      <c r="H18" s="45">
        <v>5</v>
      </c>
      <c r="I18" s="45">
        <v>6</v>
      </c>
    </row>
    <row r="19" spans="1:10">
      <c r="C19" s="45">
        <v>5</v>
      </c>
      <c r="D19" s="45" t="s">
        <v>797</v>
      </c>
      <c r="F19" s="45">
        <v>5</v>
      </c>
      <c r="G19" s="45" t="s">
        <v>798</v>
      </c>
      <c r="H19" s="45">
        <v>240</v>
      </c>
      <c r="I19" s="45">
        <v>1</v>
      </c>
    </row>
    <row r="20" spans="1:10">
      <c r="C20" s="45">
        <v>6</v>
      </c>
      <c r="D20" s="45" t="s">
        <v>799</v>
      </c>
      <c r="F20" s="45">
        <v>6</v>
      </c>
      <c r="G20" s="45" t="s">
        <v>800</v>
      </c>
      <c r="H20" s="45">
        <v>180</v>
      </c>
      <c r="I20" s="45">
        <v>2</v>
      </c>
    </row>
    <row r="21" spans="1:10">
      <c r="C21" s="45"/>
      <c r="D21" s="45"/>
      <c r="F21" s="45">
        <v>7</v>
      </c>
      <c r="G21" s="45" t="s">
        <v>801</v>
      </c>
      <c r="H21" s="45">
        <v>90</v>
      </c>
      <c r="I21" s="45">
        <v>2</v>
      </c>
    </row>
    <row r="22" spans="1:10">
      <c r="C22" s="45">
        <v>6</v>
      </c>
      <c r="D22" s="45" t="s">
        <v>799</v>
      </c>
      <c r="F22" s="45">
        <v>8</v>
      </c>
      <c r="G22" s="45" t="s">
        <v>802</v>
      </c>
      <c r="H22" s="45">
        <v>270</v>
      </c>
      <c r="I22" s="45">
        <v>3</v>
      </c>
    </row>
    <row r="23" spans="1:10">
      <c r="F23" s="45">
        <v>9</v>
      </c>
      <c r="G23" s="45" t="s">
        <v>803</v>
      </c>
      <c r="H23" s="45">
        <v>66</v>
      </c>
      <c r="I23" s="45">
        <v>3</v>
      </c>
    </row>
    <row r="24" spans="1:10">
      <c r="F24" s="45">
        <v>10</v>
      </c>
      <c r="G24" s="45" t="s">
        <v>804</v>
      </c>
      <c r="H24" s="45">
        <v>180</v>
      </c>
      <c r="I24" s="45">
        <v>2</v>
      </c>
    </row>
    <row r="26" spans="1:10" ht="16">
      <c r="A26" s="24" t="s">
        <v>805</v>
      </c>
      <c r="D26" s="24" t="str">
        <f ca="1">_xlfn.FORMULATEXT(D27)</f>
        <v>=relRange(C14:D22)</v>
      </c>
      <c r="G26" s="24" t="str">
        <f ca="1">_xlfn.FORMULATEXT(G27)</f>
        <v>=relRange(F14:I24)</v>
      </c>
      <c r="H26" s="24"/>
      <c r="J26" s="24"/>
    </row>
    <row r="27" spans="1:10" ht="156" customHeight="1">
      <c r="D27" s="19" t="str">
        <f>relRange(C14:D22)</f>
        <v>code::name 
1::Sony 
2::Creative Labs 
3::Hewlett Packard 
4::Iomega 
5::Fujitsu 
6::Winchester</v>
      </c>
      <c r="G27" s="19" t="str">
        <f>relRange(F14:I24)</f>
        <v>code::name::price::manufacturer 
1::Hard drive::240::5 
2::Memory::120::6 
3::ZIP drive::150::4 
4::Floppy disk::5::6 
5::Monitor::240::1 
6::DVD drive::180::2 
7::CD drive::90::2 
8::Printer::270::3 
9::Toner cartridge::66::3 
10::DVD burner::180::2</v>
      </c>
      <c r="H27" s="23"/>
    </row>
    <row r="28" spans="1:10">
      <c r="A28" s="26" t="s">
        <v>806</v>
      </c>
    </row>
    <row r="29" spans="1:10">
      <c r="A29" t="s">
        <v>1114</v>
      </c>
    </row>
    <row r="31" spans="1:10" ht="16">
      <c r="A31" s="24" t="s">
        <v>807</v>
      </c>
      <c r="D31" s="24" t="str">
        <f ca="1">_xlfn.FORMULATEXT(D32)</f>
        <v>=relSelect(D27, "%code&gt;3")</v>
      </c>
      <c r="G31" s="24" t="str">
        <f ca="1">_xlfn.FORMULATEXT(G32)</f>
        <v>=relSelect(G27, "LEFT($name)=""M""")</v>
      </c>
      <c r="H31" s="24"/>
    </row>
    <row r="32" spans="1:10" ht="68.5" customHeight="1">
      <c r="D32" s="19" t="str">
        <f>relSelect(D27, "%code&gt;3")</f>
        <v>code::name 
4::Iomega 
5::Fujitsu 
6::Winchester</v>
      </c>
      <c r="G32" s="19" t="str">
        <f>relSelect(G27, "LEFT($name)=""M""")</f>
        <v>code::name::price::manufacturer 
2::Memory::120::6 
5::Monitor::240::1</v>
      </c>
      <c r="H32" s="19"/>
    </row>
    <row r="33" spans="1:8">
      <c r="A33" t="s">
        <v>808</v>
      </c>
    </row>
    <row r="34" spans="1:8">
      <c r="A34" t="s">
        <v>809</v>
      </c>
    </row>
    <row r="36" spans="1:8" ht="16">
      <c r="A36" s="24" t="s">
        <v>810</v>
      </c>
      <c r="D36" s="24" t="str">
        <f ca="1">_xlfn.FORMULATEXT(D37)</f>
        <v>=relProject(D27,"code")</v>
      </c>
      <c r="E36" s="24"/>
      <c r="G36" s="24" t="str">
        <f ca="1">_xlfn.FORMULATEXT(G37)</f>
        <v>=relProject(G27, "name::price")</v>
      </c>
      <c r="H36" s="24" t="str">
        <f ca="1">_xlfn.FORMULATEXT(H37)</f>
        <v>=relProject(G32, "price SUM")</v>
      </c>
    </row>
    <row r="37" spans="1:8" ht="161" customHeight="1">
      <c r="D37" s="19" t="str">
        <f>relProject(D27,"code")</f>
        <v>code 
1 
2 
3 
4 
5 
6</v>
      </c>
      <c r="E37" s="27"/>
      <c r="G37" s="19" t="str">
        <f>relProject(G27, "name::price")</f>
        <v>name::price 
Hard drive::240 
Memory::120 
ZIP drive::150 
Floppy disk::5 
Monitor::240 
DVD drive::180 
CD drive::90 
Printer::270 
Toner cartridge::66 
DVD burner::180</v>
      </c>
      <c r="H37" s="19" t="str">
        <f>relProject(G32, "price SUM")</f>
        <v>price_sum 
360</v>
      </c>
    </row>
    <row r="38" spans="1:8">
      <c r="A38" t="s">
        <v>1115</v>
      </c>
    </row>
    <row r="40" spans="1:8" ht="16">
      <c r="A40" s="24" t="s">
        <v>811</v>
      </c>
      <c r="D40" s="24" t="str">
        <f ca="1">_xlfn.FORMULATEXT(D41)</f>
        <v>=relExtend(D37,"%code*2","name")</v>
      </c>
      <c r="G40" s="24" t="str">
        <f ca="1">_xlfn.FORMULATEXT(G41)</f>
        <v>=relExtend(G37,"LEFT($name,1)")</v>
      </c>
    </row>
    <row r="41" spans="1:8" ht="146" customHeight="1">
      <c r="D41" s="19" t="str">
        <f>relExtend(D37,"%code*2","name")</f>
        <v>code::name 
1::2 
2::4 
3::6 
4::8 
5::10 
6::12</v>
      </c>
      <c r="G41" s="19" t="str">
        <f>relExtend(G37,"LEFT($name,1)")</f>
        <v>name::price::c2 
Hard drive::240::H 
Memory::120::M 
ZIP drive::150::Z 
Floppy disk::5::F 
Monitor::240::M 
DVD drive::180::D 
CD drive::90::C 
Printer::270::P 
Toner cartridge::66::T 
DVD burner::180::D</v>
      </c>
    </row>
    <row r="42" spans="1:8">
      <c r="A42" t="s">
        <v>812</v>
      </c>
    </row>
    <row r="43" spans="1:8">
      <c r="A43" t="s">
        <v>813</v>
      </c>
    </row>
    <row r="44" spans="1:8" ht="16">
      <c r="A44" s="24" t="s">
        <v>814</v>
      </c>
      <c r="D44" s="24" t="str">
        <f ca="1">_xlfn.FORMULATEXT(D45)</f>
        <v>=relRename(D41,"code cd::name nm")</v>
      </c>
      <c r="G44" s="24" t="str">
        <f ca="1">_xlfn.FORMULATEXT(G45)</f>
        <v>=relRename(G41,"code cd::2 nm")</v>
      </c>
    </row>
    <row r="45" spans="1:8" ht="165">
      <c r="D45" s="19" t="str">
        <f>relRename(D41,"code cd::name nm")</f>
        <v>cd::nm 
1::2 
2::4 
3::6 
4::8 
5::10 
6::12</v>
      </c>
      <c r="G45" s="19" t="str">
        <f>relRename(G41,"code cd::2 nm")</f>
        <v>name::nm::c2 
Hard drive::240::H 
Memory::120::M 
ZIP drive::150::Z 
Floppy disk::5::F 
Monitor::240::M 
DVD drive::180::D 
CD drive::90::C 
Printer::270::P 
Toner cartridge::66::T 
DVD burner::180::D</v>
      </c>
    </row>
    <row r="47" spans="1:8" ht="16">
      <c r="A47" s="24" t="s">
        <v>815</v>
      </c>
      <c r="D47" s="24" t="str">
        <f ca="1">_xlfn.FORMULATEXT(D48)</f>
        <v>=relUnion(D27,D41)</v>
      </c>
      <c r="G47" s="24" t="str">
        <f ca="1">_xlfn.FORMULATEXT(G48)</f>
        <v>=relUnion(H32,G32)</v>
      </c>
    </row>
    <row r="48" spans="1:8" ht="181" customHeight="1">
      <c r="A48" s="20"/>
      <c r="B48" s="20"/>
      <c r="C48" s="20"/>
      <c r="D48" s="19" t="str">
        <f>relUnion(D27,D41)</f>
        <v>code::name 
1::Sony 
2::Creative Labs 
3::Hewlett Packard 
4::Iomega 
5::Fujitsu 
6::Winchester 
1::2 
2::4 
3::6 
4::8 
5::10 
6::12</v>
      </c>
      <c r="E48" s="20"/>
      <c r="F48" s="20"/>
      <c r="G48" s="19" t="str">
        <f>relUnion(H32,G32)</f>
        <v>code::name::price::manufacturer 
2::Memory::120::6 
5::Monitor::240::1</v>
      </c>
    </row>
    <row r="49" spans="1:9">
      <c r="A49" t="s">
        <v>816</v>
      </c>
    </row>
    <row r="51" spans="1:9" ht="16">
      <c r="A51" s="24" t="s">
        <v>817</v>
      </c>
      <c r="D51" s="24" t="str">
        <f ca="1">_xlfn.FORMULATEXT(D52)</f>
        <v>=reldifference(D48,D41)</v>
      </c>
      <c r="G51" s="24" t="str">
        <f ca="1">_xlfn.FORMULATEXT(G52)</f>
        <v>=reldifference(G27,G48)</v>
      </c>
    </row>
    <row r="52" spans="1:9" ht="95" customHeight="1">
      <c r="D52" s="19" t="str">
        <f>reldifference(D48,D41)</f>
        <v>code::name 
1::Sony 
2::Creative Labs 
3::Hewlett Packard 
4::Iomega 
5::Fujitsu 
6::Winchester</v>
      </c>
      <c r="G52" s="19" t="str">
        <f>reldifference(G27,G48)</f>
        <v>code::name::price::manufacturer 
1::Hard drive::240::5 
3::ZIP drive::150::4 
4::Floppy disk::5::6 
6::DVD drive::180::2 
7::CD drive::90::2 
8::Printer::270::3 
9::Toner cartridge::66::3 
10::DVD burner::180::2</v>
      </c>
    </row>
    <row r="53" spans="1:9">
      <c r="A53" t="s">
        <v>818</v>
      </c>
    </row>
    <row r="55" spans="1:9" ht="16">
      <c r="A55" s="24" t="s">
        <v>819</v>
      </c>
      <c r="D55" s="24" t="str">
        <f ca="1">_xlfn.FORMULATEXT(D56)</f>
        <v>=relIntersect(D48,D52)</v>
      </c>
    </row>
    <row r="56" spans="1:9" ht="145.25" customHeight="1">
      <c r="D56" s="27" t="str">
        <f>relIntersect(D48,D52)</f>
        <v>code::name 
1::Sony 
2::Creative Labs 
3::Hewlett Packard 
4::Iomega 
5::Fujitsu 
6::Winchester</v>
      </c>
    </row>
    <row r="58" spans="1:9" ht="16">
      <c r="A58" s="24" t="s">
        <v>820</v>
      </c>
      <c r="D58" s="24" t="str">
        <f ca="1">_xlfn.FORMULATEXT(D59)</f>
        <v>=relJoin(D27,G27,"%01=%06")</v>
      </c>
      <c r="G58" s="24" t="str">
        <f ca="1">_xlfn.FORMULATEXT(G59)</f>
        <v>=relJoin(H59,I59,"NATURAL")</v>
      </c>
      <c r="H58" s="24" t="str">
        <f ca="1">_xlfn.FORMULATEXT(H59)</f>
        <v>=relRename(D27,"name manufacturerlabel::code manufacturer")</v>
      </c>
      <c r="I58" s="24" t="str">
        <f ca="1">_xlfn.FORMULATEXT(I59)</f>
        <v>=relSelect(G27,"%code&gt;5")</v>
      </c>
    </row>
    <row r="59" spans="1:9" ht="172" customHeight="1">
      <c r="D59" s="19" t="str">
        <f>relJoin(D27,G27,"%01=%06")</f>
        <v>code_1::name_1::code_2::name_2::price::manufacturer 
1::Sony::5::Monitor::240::1 
2::Creative Labs::6::DVD drive::180::2 
2::Creative Labs::7::CD drive::90::2 
2::Creative Labs::10::DVD burner::180::2 
3::Hewlett Packard::8::Printer::270::3 
3::Hewlett Packard::9::Toner cartridge::66::3 
4::Iomega::3::ZIP drive::150::4 
5::Fujitsu::1::Hard drive::240::5 
6::Winchester::2::Memory::120::6 
6::Winchester::4::Floppy disk::5::6</v>
      </c>
      <c r="G59" s="28" t="str">
        <f>relJoin(H59,I59,"NATURAL")</f>
        <v>manufacturer::manufacturerlabel::code::name::price 
2::Creative Labs::6::DVD drive::180 
2::Creative Labs::7::CD drive::90 
2::Creative Labs::10::DVD burner::180 
3::Hewlett Packard::8::Printer::270 
3::Hewlett Packard::9::Toner cartridge::66</v>
      </c>
      <c r="H59" s="19" t="str">
        <f>relRename(D27,"name manufacturerlabel::code manufacturer")</f>
        <v>manufacturer::manufacturerlabel 
1::Sony 
2::Creative Labs 
3::Hewlett Packard 
4::Iomega 
5::Fujitsu 
6::Winchester</v>
      </c>
      <c r="I59" s="19" t="str">
        <f>relSelect(G27,"%code&gt;5")</f>
        <v>code::name::price::manufacturer 
6::DVD drive::180::2 
7::CD drive::90::2 
8::Printer::270::3 
9::Toner cartridge::66::3 
10::DVD burner::180::2</v>
      </c>
    </row>
    <row r="60" spans="1:9" ht="16">
      <c r="A60" t="s">
        <v>821</v>
      </c>
      <c r="G60" s="28"/>
    </row>
    <row r="61" spans="1:9" ht="16">
      <c r="A61" t="s">
        <v>822</v>
      </c>
      <c r="G61" s="28"/>
    </row>
    <row r="62" spans="1:9" ht="16">
      <c r="A62" t="s">
        <v>823</v>
      </c>
      <c r="G62" s="28"/>
    </row>
    <row r="63" spans="1:9" ht="16">
      <c r="A63" t="s">
        <v>824</v>
      </c>
      <c r="G63" s="28"/>
    </row>
    <row r="64" spans="1:9" ht="16">
      <c r="A64" t="s">
        <v>825</v>
      </c>
      <c r="G64" s="28"/>
    </row>
    <row r="65" spans="1:7" ht="16">
      <c r="G65" s="28"/>
    </row>
    <row r="66" spans="1:7" ht="16">
      <c r="A66" s="24" t="s">
        <v>826</v>
      </c>
      <c r="D66" s="24" t="str">
        <f ca="1">_xlfn.FORMULATEXT(D67)</f>
        <v>=relOrder(D59,"name_1 A::name_2 A")</v>
      </c>
      <c r="G66" s="24" t="str">
        <f ca="1">_xlfn.FORMULATEXT(G67)</f>
        <v>=relOrder(D59,"price 9")</v>
      </c>
    </row>
    <row r="67" spans="1:7" ht="139" customHeight="1">
      <c r="D67" s="19" t="str">
        <f>relOrder(D59,"name_1 A::name_2 A")</f>
        <v>code_1::name_1::code_2::name_2::price::manufacturer 
2::Creative Labs::7::CD drive::90::2 
2::Creative Labs::10::DVD burner::180::2 
2::Creative Labs::6::DVD drive::180::2 
5::Fujitsu::1::Hard drive::240::5 
3::Hewlett Packard::8::Printer::270::3 
3::Hewlett Packard::9::Toner cartridge::66::3 
4::Iomega::3::ZIP drive::150::4 
1::Sony::5::Monitor::240::1 
6::Winchester::4::Floppy disk::5::6 
6::Winchester::2::Memory::120::6</v>
      </c>
      <c r="G67" s="19" t="str">
        <f>relOrder(D59,"price 9")</f>
        <v>code_1::name_1::code_2::name_2::price::manufacturer 
3::Hewlett Packard::8::Printer::270::3 
1::Sony::5::Monitor::240::1 
5::Fujitsu::1::Hard drive::240::5 
2::Creative Labs::6::DVD drive::180::2 
2::Creative Labs::10::DVD burner::180::2 
4::Iomega::3::ZIP drive::150::4 
6::Winchester::2::Memory::120::6 
2::Creative Labs::7::CD drive::90::2 
3::Hewlett Packard::9::Toner cartridge::66::3 
6::Winchester::4::Floppy disk::5::6</v>
      </c>
    </row>
    <row r="68" spans="1:7" ht="16">
      <c r="A68" t="s">
        <v>827</v>
      </c>
      <c r="G68" s="28"/>
    </row>
    <row r="69" spans="1:7" ht="16">
      <c r="A69" t="s">
        <v>828</v>
      </c>
      <c r="G69" s="28"/>
    </row>
    <row r="70" spans="1:7" ht="16">
      <c r="A70" t="s">
        <v>829</v>
      </c>
      <c r="G70" s="28"/>
    </row>
    <row r="71" spans="1:7" ht="16">
      <c r="G71" s="28"/>
    </row>
    <row r="72" spans="1:7" ht="16">
      <c r="A72" s="24" t="s">
        <v>830</v>
      </c>
      <c r="D72" s="24" t="str">
        <f ca="1">_xlfn.FORMULATEXT(D73)</f>
        <v>=relLimit(D67,6,2)</v>
      </c>
      <c r="G72" s="28"/>
    </row>
    <row r="73" spans="1:7" ht="53.5" customHeight="1">
      <c r="D73" s="19" t="str">
        <f>relLimit(D67,6,2)</f>
        <v>code_1::name_1::code_2::name_2::price::manufacturer 
3::Hewlett Packard::9::Toner cartridge::66::3 
4::Iomega::3::ZIP drive::150::4</v>
      </c>
      <c r="G73" s="28"/>
    </row>
    <row r="74" spans="1:7" ht="16">
      <c r="A74" t="s">
        <v>831</v>
      </c>
      <c r="D74" s="23"/>
      <c r="G74" s="28"/>
    </row>
    <row r="75" spans="1:7" ht="16">
      <c r="G75" s="28"/>
    </row>
    <row r="76" spans="1:7" ht="16">
      <c r="A76" s="24" t="s">
        <v>832</v>
      </c>
      <c r="D76" s="24" t="str">
        <f ca="1">_xlfn.FORMULATEXT(D77)</f>
        <v>=relCell(D67,1,2)</v>
      </c>
      <c r="E76" s="24" t="str">
        <f ca="1">_xlfn.FORMULATEXT(E77)</f>
        <v>=relCell(G67,1,1)</v>
      </c>
      <c r="G76" s="24" t="str">
        <f ca="1">_xlfn.FORMULATEXT(G77)</f>
        <v>=relCell(G67,1,1,1)</v>
      </c>
    </row>
    <row r="77" spans="1:7" ht="17">
      <c r="D77" t="str">
        <f>relCell(D67,1,2)</f>
        <v>Creative Labs</v>
      </c>
      <c r="E77" s="28" t="str">
        <f>relCell(G67,1,1)</f>
        <v>3</v>
      </c>
      <c r="G77" s="28">
        <f>relCell(G67,1,1,1)</f>
        <v>3</v>
      </c>
    </row>
    <row r="78" spans="1:7">
      <c r="A78" t="s">
        <v>833</v>
      </c>
    </row>
    <row r="79" spans="1:7">
      <c r="A79" t="s">
        <v>834</v>
      </c>
    </row>
    <row r="80" spans="1:7">
      <c r="A80" t="s">
        <v>1215</v>
      </c>
    </row>
    <row r="83" spans="1:7" ht="16">
      <c r="A83" s="24" t="s">
        <v>835</v>
      </c>
      <c r="C83" t="s">
        <v>836</v>
      </c>
      <c r="D83" t="s">
        <v>837</v>
      </c>
      <c r="E83" s="24" t="str">
        <f>"=relLike(C70;D70)"</f>
        <v>=relLike(C70;D70)</v>
      </c>
    </row>
    <row r="84" spans="1:7">
      <c r="C84" t="s">
        <v>838</v>
      </c>
      <c r="D84" t="s">
        <v>838</v>
      </c>
      <c r="E84" t="b">
        <f>relLike(C84,D84)</f>
        <v>1</v>
      </c>
    </row>
    <row r="85" spans="1:7">
      <c r="C85" t="s">
        <v>838</v>
      </c>
      <c r="D85" t="s">
        <v>839</v>
      </c>
      <c r="E85" t="b">
        <f t="shared" ref="E85:E93" si="0">relLike(C85,D85)</f>
        <v>0</v>
      </c>
    </row>
    <row r="86" spans="1:7">
      <c r="C86" t="s">
        <v>838</v>
      </c>
      <c r="D86" t="s">
        <v>840</v>
      </c>
      <c r="E86" t="b">
        <f t="shared" si="0"/>
        <v>0</v>
      </c>
    </row>
    <row r="87" spans="1:7">
      <c r="C87" t="s">
        <v>841</v>
      </c>
      <c r="D87" t="s">
        <v>842</v>
      </c>
      <c r="E87" t="b">
        <f t="shared" si="0"/>
        <v>1</v>
      </c>
    </row>
    <row r="88" spans="1:7">
      <c r="C88" t="s">
        <v>838</v>
      </c>
      <c r="D88" t="s">
        <v>843</v>
      </c>
      <c r="E88" t="b">
        <f t="shared" si="0"/>
        <v>1</v>
      </c>
    </row>
    <row r="89" spans="1:7">
      <c r="C89" t="s">
        <v>838</v>
      </c>
      <c r="D89" t="s">
        <v>844</v>
      </c>
      <c r="E89" t="b">
        <f t="shared" si="0"/>
        <v>0</v>
      </c>
    </row>
    <row r="90" spans="1:7">
      <c r="C90" t="s">
        <v>845</v>
      </c>
      <c r="D90" t="s">
        <v>846</v>
      </c>
      <c r="E90" t="b">
        <f t="shared" si="0"/>
        <v>1</v>
      </c>
    </row>
    <row r="91" spans="1:7">
      <c r="C91" t="s">
        <v>847</v>
      </c>
      <c r="D91" t="s">
        <v>848</v>
      </c>
      <c r="E91" t="b">
        <f t="shared" si="0"/>
        <v>1</v>
      </c>
    </row>
    <row r="92" spans="1:7">
      <c r="C92" t="s">
        <v>849</v>
      </c>
      <c r="D92" t="s">
        <v>850</v>
      </c>
      <c r="E92" t="b">
        <f t="shared" si="0"/>
        <v>1</v>
      </c>
    </row>
    <row r="93" spans="1:7">
      <c r="C93" t="s">
        <v>851</v>
      </c>
      <c r="D93" t="s">
        <v>850</v>
      </c>
      <c r="E93" t="b">
        <f t="shared" si="0"/>
        <v>0</v>
      </c>
    </row>
    <row r="94" spans="1:7" ht="13.75" customHeight="1">
      <c r="D94" s="24" t="str">
        <f ca="1">_xlfn.FORMULATEXT(D95)</f>
        <v>=relSelect(G27,"relLike($name,""*ve"")")</v>
      </c>
    </row>
    <row r="95" spans="1:7" ht="96.5" customHeight="1">
      <c r="D95" s="19" t="str">
        <f>relSelect(G27,"relLike($name,""*ve"")")</f>
        <v>code::name::price::manufacturer 
1::Hard drive::240::5 
3::ZIP drive::150::4 
6::DVD drive::180::2 
7::CD drive::90::2</v>
      </c>
      <c r="G95" s="19"/>
    </row>
    <row r="96" spans="1:7">
      <c r="A96" t="s">
        <v>852</v>
      </c>
    </row>
    <row r="97" spans="1:7">
      <c r="A97" t="s">
        <v>853</v>
      </c>
    </row>
    <row r="99" spans="1:7" ht="16">
      <c r="A99" s="24" t="s">
        <v>854</v>
      </c>
      <c r="D99" s="24" t="str">
        <f ca="1">_xlfn.FORMULATEXT(D100)</f>
        <v>=relRotate(G45)</v>
      </c>
      <c r="G99" s="24"/>
    </row>
    <row r="100" spans="1:7" ht="105">
      <c r="D100" s="19" t="str">
        <f>relRotate(G45)</f>
        <v>name::Hard drive::Memory::ZIP drive::Floppy disk::Monitor::DVD drive::CD drive::Printer::Toner cartridge::DVD burner 
nm::240::120::150::5::240::180::90::270::66::180 
c2::H::M::Z::F::M::D::C::P::T::D</v>
      </c>
      <c r="G100" s="19"/>
    </row>
    <row r="101" spans="1:7">
      <c r="A101" t="s">
        <v>855</v>
      </c>
    </row>
    <row r="102" spans="1:7">
      <c r="A102" t="s">
        <v>856</v>
      </c>
    </row>
    <row r="104" spans="1:7" ht="16">
      <c r="A104" s="24" t="s">
        <v>857</v>
      </c>
      <c r="D104" s="24" t="str">
        <f ca="1">_xlfn.FORMULATEXT(D105)</f>
        <v>=relFilter(C14:D20,"S %code&lt;4", "P name")</v>
      </c>
    </row>
    <row r="105" spans="1:7" s="19" customFormat="1" ht="60" customHeight="1">
      <c r="D105" s="19" t="str">
        <f>relFilter(C14:D20,"S %code&lt;4", "P name")</f>
        <v>name 
_x000D_Sony 
_x000D_Creative Labs 
_x000D_Hewlett Packard</v>
      </c>
    </row>
    <row r="106" spans="1:7" ht="16">
      <c r="D106" s="24" t="str">
        <f ca="1">_xlfn.FORMULATEXT(D107)</f>
        <v>=relFilter(C14:D20,"S %code&lt;4", "P name", "O name A")</v>
      </c>
    </row>
    <row r="107" spans="1:7" ht="59.5" customHeight="1">
      <c r="D107" s="19" t="str">
        <f>relFilter(C14:D20,"S %code&lt;4", "P name", "O name A")</f>
        <v>name 
_x000D_Creative Labs 
_x000D_Hewlett Packard 
_x000D_Sony</v>
      </c>
    </row>
    <row r="108" spans="1:7" ht="16">
      <c r="D108" s="24" t="str">
        <f ca="1">_xlfn.FORMULATEXT(D109)</f>
        <v>=relFilter(C14:D20,"S %code&lt;4", "P name", "O name A","L 1 2")</v>
      </c>
    </row>
    <row r="109" spans="1:7" ht="49" customHeight="1">
      <c r="D109" s="46" t="str">
        <f>relFilter(C14:D20,"S %code&lt;4", "P name", "O name A","L 1 2")</f>
        <v>name 
_x000D_Creative Labs 
_x000D_Hewlett Packard</v>
      </c>
    </row>
    <row r="110" spans="1:7" ht="16">
      <c r="A110" t="s">
        <v>858</v>
      </c>
      <c r="D110" s="29"/>
    </row>
    <row r="111" spans="1:7" ht="16">
      <c r="A111" s="26" t="s">
        <v>859</v>
      </c>
      <c r="D111" s="29"/>
    </row>
    <row r="112" spans="1:7" ht="16">
      <c r="A112" s="26" t="s">
        <v>860</v>
      </c>
      <c r="D112" s="29"/>
    </row>
    <row r="113" spans="1:4" ht="16">
      <c r="A113" s="26" t="s">
        <v>861</v>
      </c>
      <c r="D113" s="29"/>
    </row>
    <row r="114" spans="1:4" ht="16">
      <c r="A114" s="26" t="s">
        <v>862</v>
      </c>
      <c r="D114" s="29"/>
    </row>
    <row r="115" spans="1:4" ht="16">
      <c r="A115" s="26" t="s">
        <v>863</v>
      </c>
      <c r="D115" s="29"/>
    </row>
    <row r="116" spans="1:4" ht="16">
      <c r="A116" s="26" t="s">
        <v>864</v>
      </c>
      <c r="D116" s="29"/>
    </row>
    <row r="117" spans="1:4" ht="16">
      <c r="A117" s="26" t="s">
        <v>865</v>
      </c>
      <c r="D117" s="29"/>
    </row>
    <row r="119" spans="1:4" ht="16">
      <c r="A119" s="24" t="s">
        <v>857</v>
      </c>
      <c r="D119" s="24" t="str">
        <f ca="1">_xlfn.FORMULATEXT(D120)</f>
        <v>=relSql("SELECT name FROM t1 WHERE code &lt; 4",C14:D22)</v>
      </c>
    </row>
    <row r="120" spans="1:4" s="19" customFormat="1" ht="60" customHeight="1">
      <c r="D120" s="19" t="str">
        <f>relSql("SELECT name FROM t1 WHERE code &lt; 4",C14:D22)</f>
        <v>name 
_x000D_Sony 
_x000D_Creative Labs 
_x000D_Hewlett Packard</v>
      </c>
    </row>
    <row r="121" spans="1:4" ht="16">
      <c r="D121" s="24" t="str">
        <f ca="1">_xlfn.FORMULATEXT(D122)</f>
        <v>=relSql("SELECT name FROM t1 WHERE code &lt; 4 ORDER BY name",C14:D22)</v>
      </c>
    </row>
    <row r="122" spans="1:4" ht="59.5" customHeight="1">
      <c r="D122" s="19" t="str">
        <f>relSql("SELECT name FROM t1 WHERE code &lt; 4 ORDER BY name",C14:D22)</f>
        <v>name 
_x000D_Creative Labs 
_x000D_Hewlett Packard 
_x000D_Sony</v>
      </c>
    </row>
    <row r="123" spans="1:4" ht="16">
      <c r="D123" s="24" t="str">
        <f ca="1">_xlfn.FORMULATEXT(D124)</f>
        <v>=relLimit(relSql("SELECT name FROM t1 WHERE code &lt; 4 ORDER BY name",C14:D22),1,2)</v>
      </c>
    </row>
    <row r="124" spans="1:4" ht="49" customHeight="1">
      <c r="D124" s="46" t="str">
        <f>relLimit(relSql("SELECT name FROM t1 WHERE code &lt; 4 ORDER BY name",C14:D22),1,2)</f>
        <v>name 
_x000D_Creative Labs 
_x000D_Hewlett Packard</v>
      </c>
    </row>
    <row r="125" spans="1:4" ht="16">
      <c r="A125" t="s">
        <v>1116</v>
      </c>
      <c r="D125" s="29"/>
    </row>
    <row r="126" spans="1:4" ht="16">
      <c r="A126" s="26" t="s">
        <v>1117</v>
      </c>
      <c r="D126" s="29"/>
    </row>
    <row r="127" spans="1:4" ht="16">
      <c r="A127" s="26" t="s">
        <v>1150</v>
      </c>
      <c r="D127" s="29"/>
    </row>
    <row r="128" spans="1:4" ht="16">
      <c r="A128" s="26" t="s">
        <v>1118</v>
      </c>
      <c r="D128" s="29"/>
    </row>
    <row r="129" spans="1:4" ht="16">
      <c r="A129" s="26" t="s">
        <v>1119</v>
      </c>
      <c r="B129" t="s">
        <v>1123</v>
      </c>
      <c r="D129" s="29"/>
    </row>
    <row r="130" spans="1:4" ht="16">
      <c r="A130" s="26" t="s">
        <v>1120</v>
      </c>
      <c r="B130" t="s">
        <v>1121</v>
      </c>
      <c r="D130" s="29"/>
    </row>
    <row r="131" spans="1:4" ht="16">
      <c r="A131" s="26" t="s">
        <v>1122</v>
      </c>
      <c r="B131" t="s">
        <v>1141</v>
      </c>
      <c r="D131" s="29"/>
    </row>
    <row r="132" spans="1:4" ht="16">
      <c r="A132" s="26" t="s">
        <v>786</v>
      </c>
      <c r="B132" t="s">
        <v>1124</v>
      </c>
      <c r="D132" s="29"/>
    </row>
    <row r="133" spans="1:4" ht="16">
      <c r="A133" s="26" t="s">
        <v>1125</v>
      </c>
      <c r="B133" s="47" t="s">
        <v>1126</v>
      </c>
      <c r="D133" s="29"/>
    </row>
    <row r="134" spans="1:4" ht="16">
      <c r="A134" s="26" t="s">
        <v>1127</v>
      </c>
      <c r="B134" t="s">
        <v>1128</v>
      </c>
      <c r="D134" s="29"/>
    </row>
    <row r="135" spans="1:4" ht="16">
      <c r="A135" s="26" t="s">
        <v>1129</v>
      </c>
      <c r="B135" t="s">
        <v>1153</v>
      </c>
      <c r="D135" s="29"/>
    </row>
    <row r="136" spans="1:4" ht="16">
      <c r="A136" s="26" t="s">
        <v>1142</v>
      </c>
      <c r="B136" t="s">
        <v>1143</v>
      </c>
      <c r="D136" s="29"/>
    </row>
    <row r="137" spans="1:4" ht="16">
      <c r="A137" s="26" t="s">
        <v>1130</v>
      </c>
      <c r="B137" t="s">
        <v>1131</v>
      </c>
      <c r="D137" s="29"/>
    </row>
    <row r="138" spans="1:4" ht="16">
      <c r="A138" s="26" t="s">
        <v>1132</v>
      </c>
      <c r="B138" t="s">
        <v>1133</v>
      </c>
      <c r="D138" s="29"/>
    </row>
    <row r="139" spans="1:4" ht="16">
      <c r="A139" s="26" t="s">
        <v>1134</v>
      </c>
      <c r="B139" t="s">
        <v>1135</v>
      </c>
      <c r="D139" s="29"/>
    </row>
    <row r="140" spans="1:4" ht="16">
      <c r="A140" s="26" t="s">
        <v>1136</v>
      </c>
      <c r="B140" t="s">
        <v>1137</v>
      </c>
      <c r="D140" s="29"/>
    </row>
    <row r="141" spans="1:4" ht="16">
      <c r="A141" s="26" t="s">
        <v>1138</v>
      </c>
      <c r="B141" t="s">
        <v>1139</v>
      </c>
      <c r="D141" s="29"/>
    </row>
    <row r="142" spans="1:4" ht="16">
      <c r="A142" s="26" t="str">
        <f>relSql("SELECT name FROM t1 WHERE code &lt; 4 ORDER BY name",C14:D22)</f>
        <v>name 
_x000D_Creative Labs 
_x000D_Hewlett Packard 
_x000D_Sony</v>
      </c>
      <c r="D142" s="29"/>
    </row>
    <row r="143" spans="1:4" ht="16">
      <c r="A143" s="26" t="s">
        <v>1140</v>
      </c>
      <c r="D143" s="29"/>
    </row>
    <row r="144" spans="1:4" ht="16">
      <c r="A144" s="26" t="s">
        <v>1144</v>
      </c>
      <c r="D144" s="29"/>
    </row>
    <row r="145" spans="1:7" ht="16">
      <c r="A145" s="26" t="s">
        <v>1145</v>
      </c>
      <c r="D145" s="29"/>
    </row>
    <row r="146" spans="1:7" ht="16">
      <c r="A146" s="26" t="s">
        <v>1146</v>
      </c>
      <c r="D146" s="29"/>
    </row>
    <row r="147" spans="1:7" ht="16">
      <c r="A147" s="26" t="s">
        <v>1147</v>
      </c>
      <c r="D147" s="29"/>
    </row>
    <row r="148" spans="1:7" ht="16">
      <c r="A148" s="26" t="s">
        <v>1148</v>
      </c>
      <c r="D148" s="29"/>
    </row>
    <row r="149" spans="1:7" ht="16">
      <c r="A149" s="26" t="s">
        <v>1149</v>
      </c>
      <c r="D149" s="29"/>
    </row>
    <row r="150" spans="1:7" ht="16">
      <c r="A150" s="26" t="s">
        <v>1162</v>
      </c>
      <c r="D150" s="29"/>
    </row>
    <row r="151" spans="1:7" ht="16">
      <c r="A151" s="26" t="s">
        <v>1163</v>
      </c>
      <c r="D151" s="29"/>
    </row>
    <row r="152" spans="1:7" ht="16">
      <c r="A152" s="55" t="s">
        <v>1193</v>
      </c>
      <c r="D152" s="29"/>
    </row>
    <row r="153" spans="1:7" ht="16">
      <c r="A153" s="55" t="s">
        <v>1194</v>
      </c>
      <c r="D153" s="29"/>
    </row>
    <row r="154" spans="1:7" ht="16">
      <c r="A154" s="55" t="s">
        <v>1195</v>
      </c>
      <c r="D154" s="29"/>
    </row>
    <row r="155" spans="1:7" ht="16">
      <c r="A155" s="26"/>
      <c r="D155" s="29"/>
    </row>
    <row r="156" spans="1:7" ht="16">
      <c r="A156" s="24" t="s">
        <v>866</v>
      </c>
      <c r="D156" s="24" t="str">
        <f ca="1">_xlfn.FORMULATEXT(D157)</f>
        <v>=relAssert(D27,"ALL","%code&lt;10")</v>
      </c>
      <c r="G156" s="24" t="str">
        <f ca="1">_xlfn.FORMULATEXT(G157)</f>
        <v>=relAssert(G27,"ALL","%code&lt;10")</v>
      </c>
    </row>
    <row r="157" spans="1:7">
      <c r="D157" t="b">
        <f>relAssert(D27,"ALL","%code&lt;10")</f>
        <v>1</v>
      </c>
      <c r="G157" t="str">
        <f>relAssert(G27,"ALL","%code&lt;10")</f>
        <v>#ASSERTION ALL  11 : =(10&lt;10)</v>
      </c>
    </row>
    <row r="158" spans="1:7" ht="16">
      <c r="D158" s="24" t="str">
        <f ca="1">_xlfn.FORMULATEXT(D159)</f>
        <v>=relAssert(D27,"EXISTS","%code=10")</v>
      </c>
      <c r="G158" s="24" t="str">
        <f ca="1">_xlfn.FORMULATEXT(G159)</f>
        <v>=relAssert(G27,"EXISTS","%code=10")</v>
      </c>
    </row>
    <row r="159" spans="1:7">
      <c r="D159" t="str">
        <f>relAssert(D27,"EXISTS","%code=10")</f>
        <v>#ASSERTION EXISTS %code=10</v>
      </c>
      <c r="G159" t="b">
        <f>relAssert(G27,"EXISTS","%code=10")</f>
        <v>1</v>
      </c>
    </row>
    <row r="160" spans="1:7" ht="16">
      <c r="D160" s="24" t="str">
        <f ca="1">_xlfn.FORMULATEXT(D161)</f>
        <v>=relAssert(D27,"UNIQUE","%code")</v>
      </c>
      <c r="G160" s="24" t="str">
        <f ca="1">_xlfn.FORMULATEXT(G161)</f>
        <v>=relAssert(D48,"UNIQUE","%code")</v>
      </c>
    </row>
    <row r="161" spans="1:7">
      <c r="D161" t="b">
        <f>relAssert(D27,"UNIQUE","%code")</f>
        <v>1</v>
      </c>
      <c r="G161" t="str">
        <f>relAssert(D48,"UNIQUE","%code")</f>
        <v>#ASSERTION UNIQUE  8 : 1 =  2 : 1</v>
      </c>
    </row>
    <row r="162" spans="1:7" ht="16">
      <c r="D162" s="24" t="str">
        <f ca="1">_xlfn.FORMULATEXT(D163)</f>
        <v>=relAssert(D27,"COLUMNS","code::price")</v>
      </c>
      <c r="G162" s="24" t="str">
        <f ca="1">_xlfn.FORMULATEXT(G163)</f>
        <v>=relAssert(G27,"COLUMNS","code::price")</v>
      </c>
    </row>
    <row r="163" spans="1:7">
      <c r="D163" t="str">
        <f>relAssert(D27,"COLUMNS","code::price")</f>
        <v>#ASSERTION COLUMNS price</v>
      </c>
      <c r="G163" t="b">
        <f>relAssert(G27,"COLUMNS","code::price")</f>
        <v>1</v>
      </c>
    </row>
    <row r="164" spans="1:7">
      <c r="A164" t="s">
        <v>867</v>
      </c>
    </row>
    <row r="165" spans="1:7">
      <c r="A165" t="s">
        <v>868</v>
      </c>
    </row>
    <row r="166" spans="1:7">
      <c r="A166" t="s">
        <v>869</v>
      </c>
    </row>
    <row r="167" spans="1:7">
      <c r="A167" t="s">
        <v>870</v>
      </c>
    </row>
    <row r="169" spans="1:7" ht="16">
      <c r="A169" s="24" t="s">
        <v>871</v>
      </c>
    </row>
    <row r="170" spans="1:7" ht="16">
      <c r="A170" s="30" t="s">
        <v>1151</v>
      </c>
    </row>
    <row r="171" spans="1:7" ht="16">
      <c r="A171" s="30" t="s">
        <v>1213</v>
      </c>
    </row>
    <row r="172" spans="1:7" ht="16">
      <c r="A172" s="30"/>
    </row>
    <row r="173" spans="1:7" ht="16">
      <c r="A173" s="31" t="s">
        <v>872</v>
      </c>
    </row>
    <row r="174" spans="1:7">
      <c r="A174" s="32">
        <v>44780</v>
      </c>
    </row>
  </sheetData>
  <hyperlinks>
    <hyperlink ref="A173" r:id="rId1" xr:uid="{00000000-0004-0000-0000-000000000000}"/>
  </hyperlinks>
  <pageMargins left="0.7" right="0.7" top="0.78740157499999996" bottom="0.78740157499999996"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G34"/>
  <sheetViews>
    <sheetView topLeftCell="A24" workbookViewId="0">
      <selection activeCell="B9" sqref="B9"/>
    </sheetView>
  </sheetViews>
  <sheetFormatPr baseColWidth="10" defaultRowHeight="14"/>
  <cols>
    <col min="1" max="1" width="56.6640625" style="20" customWidth="1"/>
    <col min="2" max="2" width="71.83203125" style="19" customWidth="1"/>
    <col min="3" max="3" width="47.1640625" style="19" customWidth="1"/>
    <col min="4" max="4" width="36.5" style="23" customWidth="1"/>
  </cols>
  <sheetData>
    <row r="1" spans="1:4" s="55" customFormat="1">
      <c r="A1" s="53" t="s">
        <v>1164</v>
      </c>
      <c r="B1" s="54"/>
      <c r="C1" s="54"/>
      <c r="D1" s="56"/>
    </row>
    <row r="2" spans="1:4" s="55" customFormat="1" ht="15">
      <c r="A2" s="53" t="s">
        <v>1165</v>
      </c>
      <c r="B2" s="54" t="s">
        <v>1166</v>
      </c>
      <c r="C2" s="54" t="s">
        <v>1167</v>
      </c>
      <c r="D2" s="56" t="s">
        <v>1214</v>
      </c>
    </row>
    <row r="3" spans="1:4" ht="79.5" customHeight="1">
      <c r="A3" s="20" t="s">
        <v>702</v>
      </c>
      <c r="B3" s="19" t="str">
        <f t="shared" ref="B3:B17" si="0">relSql(A3,Customers)</f>
        <v>CustomerID::CustomerName::ContactName::Address::City::PostalCode::Country 
_x000D_1::Alfreds Futterkiste::Maria Anders::Obere Str. 57::Berlin::12209::Germany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_x000D_6::Blauer See Delikatessen::Hanna Moos::Forsterstr. 57::Mannheim::68306::Germany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_x000D_17::Drachenblut Delikatessend::Sven Ottlieb::Walserweg 21::Aachen::52066::Germany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_x000D_25::Frankenversand::Peter Franken::Berliner Platz 43::München::80805::Germany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_x000D_39::Königlich Essen::Philip Cramer::Maubelstr. 90::Brandenburg::14776::Germany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_x000D_44::Lehmanns Marktstand::Renate Messner::Magazinweg 7::Frankfurt a.M.::60528::Germany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_x000D_52::Morgenstern Gesundkost::Alexander Feuer::Heerstr. 22::Leipzig::4179::Germany 
_x000D_53::North/South::Simon Crowther::South House 300 Queensbridge::London::SW7 1RZ::UK 
_x000D_54::Océano Atlántico Ltda.::Yvonne Moncada::Ing. Gustavo Moncada 8585 Piso 20-A::Buenos Aires::1010::Argentina 
_x000D_55::Old World Delicatessen::Rene Phillips::2743 Bering St.::Anchorage::99508::USA 
_x000D_56::Ottilies Käseladen::Henriette Pfalzheim::Mehrheimerstr. 369::Köln::50739::Germany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_x000D_63::QUICK-Stop::Horst Kloss::Taucherstraße 10::Cunewalde::1307::Germany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_x000D_79::Toms Spezialitäten::Karin Josephs::Luisenstr. 48::Münster::44087::Germany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_x000D_86::Die Wandernde Kuh::Rita Müller::Adenauerallee 900::Stuttgart::70563::Germany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3" s="19" t="str">
        <f>relParseSql(A3)</f>
        <v>_ t1
_x000D_R * t1
_x000D_R -</v>
      </c>
      <c r="D3" s="23" t="str">
        <f>relTokenizeSql(A3)</f>
        <v xml:space="preserve">SELECT !* FROM @t1 </v>
      </c>
    </row>
    <row r="4" spans="1:4" ht="79" customHeight="1">
      <c r="A4" s="20" t="s">
        <v>703</v>
      </c>
      <c r="B4" s="19" t="str">
        <f t="shared" si="0"/>
        <v>CustomerName::City 
_x000D_Alfreds Futterkiste::Berlin 
_x000D_Ana Trujillo Emparedados y helados::México D.F. 
_x000D_Antonio Moreno Taquería::México D.F. 
_x000D_Around the Horn::London 
_x000D_Berglunds snabbköp::Luleå 
_x000D_Blauer See Delikatessen::Mannheim 
_x000D_Blondel père et fils::Strasbourg 
_x000D_Bólido Comidas preparadas::Madrid 
_x000D_Bon app'::Marseille 
_x000D_Bottom-Dollar Marketse::Tsawassen 
_x000D_B's Beverages::London 
_x000D_Cactus Comidas para llevar::Buenos Aires 
_x000D_Centro comercial Moctezuma::México D.F. 
_x000D_Chop-suey Chinese::Bern 
_x000D_Comércio Mineiro::São Paulo 
_x000D_Consolidated Holdings::London 
_x000D_Drachenblut Delikatessend::Aachen 
_x000D_Du monde entier::Nantes 
_x000D_Eastern Connection::London 
_x000D_Ernst Handel::Graz 
_x000D_Familia Arquibaldo::São Paulo 
_x000D_FISSA Fabrica Inter. Salchichas S.A.::Madrid 
_x000D_Folies gourmandes::Lille 
_x000D_Folk och fä HB::Bräcke 
_x000D_Frankenversand::München 
_x000D_France restauration::Nantes 
_x000D_Franchi S.p.A.::Torino 
_x000D_Furia Bacalhau e Frutos do Mar::Lisboa 
_x000D_Galería del gastrónomo::Barcelona 
_x000D_Godos Cocina Típica::Sevilla 
_x000D_Gourmet Lanchonetes::Campinas 
_x000D_Great Lakes Food Market::Eugene 
_x000D_GROSELLA-Restaurante::Caracas 
_x000D_Hanari Carnes::Rio de Janeiro 
_x000D_HILARIÓN-Abastos::San Cristóbal 
_x000D_Hungry Coyote Import Store::Elgin 
_x000D_Hungry Owl All-Night Grocers::Cork 
_x000D_Island Trading::Cowes 
_x000D_Königlich Essen::Brandenburg 
_x000D_La corne d'abondance::Versailles 
_x000D_La maison d'Asie::Toulouse 
_x000D_Laughing Bacchus Wine Cellars::Vancouver 
_x000D_Lazy K Kountry Store::Walla Walla 
_x000D_Lehmanns Marktstand::Frankfurt a.M. 
_x000D_Let's Stop N Shop::San Francisco 
_x000D_LILA-Supermercado::Barquisimeto 
_x000D_LINO-Delicateses::I. de Margarita 
_x000D_Lonesome Pine Restaurant::Portland 
_x000D_Magazzini Alimentari Riuniti::Bergamo 
_x000D_Maison Dewey::Bruxelles 
_x000D_Mère Paillarde::Montréal 
_x000D_Morgenstern Gesundkost::Leipzig 
_x000D_North/South::London 
_x000D_Océano Atlántico Ltda.::Buenos Aires 
_x000D_Old World Delicatessen::Anchorage 
_x000D_Ottilies Käseladen::Köln 
_x000D_Paris spécialités::Paris 
_x000D_Pericles Comidas clásicas::México D.F. 
_x000D_Piccolo und mehr::Salzburg 
_x000D_Princesa Isabel Vinhoss::Lisboa 
_x000D_Que Delícia::Rio de Janeiro 
_x000D_Queen Cozinha::São Paulo 
_x000D_QUICK-Stop::Cunewalde 
_x000D_Rancho grande::Buenos Aires 
_x000D_Rattlesnake Canyon Grocery::Albuquerque 
_x000D_Reggiani Caseifici::Reggio Emilia 
_x000D_Ricardo Adocicados::Rio de Janeiro 
_x000D_Richter Supermarkt::Genève 
_x000D_Romero y tomillo::Madrid 
_x000D_Santé Gourmet::Stavern 
_x000D_Save-a-lot Markets::Boise 
_x000D_Seven Seas Imports::London 
_x000D_Simons bistro::København 
_x000D_Spécialités du monde::Paris 
_x000D_Split Rail Beer &amp; Ale::Lander 
_x000D_Suprêmes délices::Charleroi 
_x000D_The Big Cheese::Portland 
_x000D_The Cracker Box::Butte 
_x000D_Toms Spezialitäten::Münster 
_x000D_Tortuga Restaurante::México D.F. 
_x000D_Tradição Hipermercados::São Paulo 
_x000D_Trail's Head Gourmet Provisioners::Kirkland 
_x000D_Vaffeljernet::Århus 
_x000D_Victuailles en stock::Lyon 
_x000D_Vins et alcools Chevalier::Reims 
_x000D_Die Wandernde Kuh::Stuttgart 
_x000D_Wartian Herkku::Oulu 
_x000D_Wellington Importadora::Resende 
_x000D_White Clover Markets::Seattle 
_x000D_Wilman Kala::Helsinki 
_x000D_Wolski::Walla</v>
      </c>
      <c r="C4" s="19" t="str">
        <f t="shared" ref="C4:C34" si="1">relParseSql(A4)</f>
        <v>_ t1
_x000D_R * t1
_x000D_P CustomerName::City
_x000D_R -</v>
      </c>
      <c r="D4" s="23" t="str">
        <f t="shared" ref="D4:D34" si="2">relTokenizeSql(A4)</f>
        <v xml:space="preserve">SELECT @CustomerName ,, @City FROM @t1 </v>
      </c>
    </row>
    <row r="5" spans="1:4" ht="92.5" customHeight="1">
      <c r="A5" s="19" t="s">
        <v>721</v>
      </c>
      <c r="B5" s="19" t="str">
        <f t="shared" si="0"/>
        <v>cntr 
_x000D_Mexico</v>
      </c>
      <c r="C5" s="19" t="str">
        <f t="shared" si="1"/>
        <v>_ t1
_x000D_R * t1
_x000D_S ?	@Country	$"Mexico"	!=
_x000D_E cntr ?	@Country
_x000D_P cntr
_x000D_R -</v>
      </c>
      <c r="D5" s="23" t="str">
        <f t="shared" si="2"/>
        <v xml:space="preserve">SELECT @Country AS @cntr FROM @t1 WHERE @Country != $"Mexico" </v>
      </c>
    </row>
    <row r="6" spans="1:4" ht="40" customHeight="1">
      <c r="A6" s="19" t="s">
        <v>719</v>
      </c>
      <c r="B6" s="19" t="str">
        <f>relSql(A6,Customers)</f>
        <v>CustomerID 
_x000D_1 
_x000D_2</v>
      </c>
      <c r="C6" s="19" t="str">
        <f t="shared" si="1"/>
        <v>_ t1
_x000D_R * t1
_x000D_S ?	@CustomerID	#3	!&lt; 
_x000D_P CustomerID
_x000D_R -</v>
      </c>
      <c r="D6" s="23" t="str">
        <f t="shared" si="2"/>
        <v xml:space="preserve">SELECT @CustomerID FROM @t1 WHERE @CustomerID !&lt;  #3 </v>
      </c>
    </row>
    <row r="7" spans="1:4" ht="84.5" customHeight="1">
      <c r="A7" s="19" t="s">
        <v>716</v>
      </c>
      <c r="B7" s="19" t="str">
        <f t="shared" si="0"/>
        <v>CustomerID::CustomerName::ContactName::Address::City::PostalCode::Country 
_x000D_1::Alfreds Futterkiste::Maria Anders::Obere Str. 57::Berlin::12209::Germany</v>
      </c>
      <c r="C7" s="19" t="str">
        <f t="shared" si="1"/>
        <v>_ t1
_x000D_R * t1
_x000D_S ?	@City	$"Berlin"	!=	@Country	$"Germany"	!=	!AND
_x000D_R -</v>
      </c>
      <c r="D7" s="23" t="str">
        <f t="shared" si="2"/>
        <v xml:space="preserve">SELECT !* FROM @t1 WHERE @City != $"Berlin" !AND @Country != $"Germany" </v>
      </c>
    </row>
    <row r="8" spans="1:4" ht="64" customHeight="1">
      <c r="A8" s="19" t="s">
        <v>717</v>
      </c>
      <c r="B8" s="19" t="str">
        <f t="shared" si="0"/>
        <v>CustomerID::CustomerName::ContactName::Address::City::PostalCode::Country 
_x000D_1::Alfreds Futterkiste::Maria Anders::Obere Str. 57::Berlin::12209::Germany 
_x000D_25::Frankenversand::Peter Franken::Berliner Platz 43::München::80805::Germany</v>
      </c>
      <c r="C8" s="19" t="str">
        <f t="shared" si="1"/>
        <v>_ t1
_x000D_R * t1
_x000D_S ?	@City	$"Berlin"	!=	@City	$"München"	!=	!OR
_x000D_R -</v>
      </c>
      <c r="D8" s="23" t="str">
        <f t="shared" si="2"/>
        <v xml:space="preserve">SELECT !* FROM @t1 WHERE @City != $"Berlin" !OR @City != $"München" </v>
      </c>
    </row>
    <row r="9" spans="1:4" ht="64.5" customHeight="1">
      <c r="A9" s="19" t="s">
        <v>720</v>
      </c>
      <c r="B9" s="19" t="str">
        <f t="shared" si="0"/>
        <v>CustomerID::CustomerName::ContactName::Address::City::PostalCode::Country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_x000D_53::North/South::Simon Crowther::South House 300 Queensbridge::London::SW7 1RZ::UK 
_x000D_54::Océano Atlántico Ltda.::Yvonne Moncada::Ing. Gustavo Moncada 8585 Piso 20-A::Buenos Aires::1010::Argentina 
_x000D_55::Old World Delicatessen::Rene Phillips::2743 Bering St.::Anchorage::99508::USA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9" s="19" t="str">
        <f t="shared" si="1"/>
        <v>_ t1
_x000D_R * t1
_x000D_S ?	@Country	$"Germany"	!=	&lt;NOT
_x000D_R -</v>
      </c>
      <c r="D9" s="23" t="str">
        <f t="shared" si="2"/>
        <v xml:space="preserve">SELECT !* FROM @t1 WHERE &lt;NOT @Country != $"Germany" </v>
      </c>
    </row>
    <row r="10" spans="1:4" ht="123" customHeight="1">
      <c r="A10" s="19" t="s">
        <v>704</v>
      </c>
      <c r="B10" s="19" t="str">
        <f>relSql(A10,Customers)</f>
        <v>CustomerID::CustomerName::ContactName::Address::City::PostalCode::Country 
_x000D_1::Alfreds Futterkiste::Maria Anders::Obere Str. 57::Berlin::12209::Germany 
_x000D_25::Frankenversand::Peter Franken::Berliner Platz 43::München::80805::Germany</v>
      </c>
      <c r="C10" s="19" t="str">
        <f t="shared" si="1"/>
        <v>_ t1
_x000D_R * t1
_x000D_S ?	@Country	$"Germany"	!=	@City	$"Berlin"	!=	@City	$"München"	%1	!=	!OR	!AND
_x000D_R -</v>
      </c>
      <c r="D10" s="23" t="str">
        <f t="shared" si="2"/>
        <v xml:space="preserve">SELECT !* FROM @t1 WHERE @Country != $"Germany" !AND (( @City != $"Berlin" !OR @City != $"München" )) </v>
      </c>
    </row>
    <row r="11" spans="1:4" ht="39.5" customHeight="1">
      <c r="A11" s="19" t="s">
        <v>718</v>
      </c>
      <c r="B11" s="19" t="str">
        <f>relSql(A11,Customers)</f>
        <v>CustomerID::CustomerName::ContactName::Address::City::PostalCode::Country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_x000D_37::Hungry Owl All-Night Grocers::Patricia McKenna::8 Johnstown Road::Cork::::Ireland 
_x000D_38::Island Trading::Helen Bennett::Garden House Crowther Way::Cowes::PO31 7PJ::UK 
_x000D_40::La corne d'abondance::Daniel Tonini::67, avenue de l'Europe::Versailles::78000::France 
_x000D_41::La maison d'Asie::Annette Roulet::1 rue Alsace-Lorraine::Toulouse::31000::France 
_x000D_42::Laughing Bacchus Wine Cellars::Yoshi Tannamuri::1900 Oak St.::Vancouver::V3F 2K1::Canada 
_x000D_46::LILA-Supermercado::Carlos González::Carrera 52 con Ave. Bolívar #65-98 Llano Largo::Barquisimeto::3508::Venezuela 
_x000D_47::LINO-Delicateses::Felipe Izquierdo::Ave. 5 de Mayo Porlamar::I. de Margarita::4980::Venezuela 
_x000D_49::Magazzini Alimentari Riuniti::Giovanni Rovelli::Via Ludovico il Moro 22::Bergamo::24100::Italy 
_x000D_50::Maison Dewey::Catherine Dewey::Rue Joseph-Bens 532::Bruxelles::B-1180::Belgium 
_x000D_51::Mère Paillarde::Jean Fresnière::43 rue St. Laurent::Montréal::H1J 1C3::Canada 
_x000D_53::North/South::Simon Crowther::South House 300 Queensbridge::London::SW7 1RZ::UK 
_x000D_54::Océano Atlántico Ltda.::Yvonne Moncada::Ing. Gustavo Moncada 8585 Piso 20-A::Buenos Aires::1010::Argentina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_x000D_64::Rancho grande::Sergio Gutiérrez::Av. del Libertador 900::Buenos Aires::1010::Argentina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_x000D_72::Seven Seas Imports::Hari Kumar::90 Wadhurst Rd.::London::OX15 4NB::UK 
_x000D_73::Simons bistro::Jytte Petersen::Vinbæltet 34::København::1734::Denmark 
_x000D_74::Spécialités du monde::Dominique Perrier::25, rue Lauriston::Paris::75016::France 
_x000D_76::Suprêmes délices::Pascale Cartrain::Boulevard Tirou, 255::Charleroi::B-6000::Belgium 
_x000D_80::Tortuga Restaurante::Miguel Angel Paolino::Avda. Azteca 123::México D.F.::5033::Mexico 
_x000D_81::Tradição Hipermercados::Anabela Domingues::Av. Inês de Castro, 414::São Paulo::05634-030::Brazil 
_x000D_83::Vaffeljernet::Palle Ibsen::Smagsløget 45::Århus::8200::Denmark 
_x000D_84::Victuailles en stock::Mary Saveley::2, rue du Commerce::Lyon::69004::France 
_x000D_85::Vins et alcools Chevalier::Paul Henriot::59 rue de l'Abbaye::Reims::51100::France 
_x000D_87::Wartian Herkku::Pirkko Koskitalo::Torikatu 38::Oulu::90110::Finland 
_x000D_88::Wellington Importadora::Paula Parente::Rua do Mercado, 12::Resende::08737-363::Brazil 
_x000D_90::Wilman Kala::Matti Karttunen::Keskuskatu 45::Helsinki::21240::Finland 
_x000D_91::Wolski::Zbyszek::ul. Filtrowa 68::Walla::01-012::Poland</v>
      </c>
      <c r="C11" s="19" t="str">
        <f t="shared" si="1"/>
        <v>_ t1
_x000D_R * t1
_x000D_S ?	@Country	$"Germany"	!=	@Country	$"USA"	%1	!=	!OR	&lt;NOT
_x000D_R -</v>
      </c>
      <c r="D11" s="23" t="str">
        <f t="shared" si="2"/>
        <v xml:space="preserve">SELECT !* FROM @t1 WHERE &lt;NOT (( @Country != $"Germany" !OR @Country != $"USA" )) </v>
      </c>
    </row>
    <row r="12" spans="1:4" ht="83" customHeight="1">
      <c r="A12" s="19" t="s">
        <v>705</v>
      </c>
      <c r="B12" s="19" t="str">
        <f t="shared" si="0"/>
        <v>CustomerID::CustomerName::ContactName::Address::City::PostalCode::Country 
_x000D_12::Cactus Comidas para llevar::Patricio Simpson::Cerrito 333::Buenos Aires::1010::Argentina 
_x000D_54::Océano Atlántico Ltda.::Yvonne Moncada::Ing. Gustavo Moncada 8585 Piso 20-A::Buenos Aires::1010::Argentina 
_x000D_64::Rancho grande::Sergio Gutiérrez::Av. del Libertador 900::Buenos Aires::1010::Argentina 
_x000D_20::Ernst Handel::Roland Mendel::Kirchgasse 6::Graz::8010::Austria 
_x000D_59::Piccolo und mehr::Georg Pipps::Geislweg 14::Salzburg::5020::Austria 
_x000D_50::Maison Dewey::Catherine Dewey::Rue Joseph-Bens 532::Bruxelles::B-1180::Belgium 
_x000D_76::Suprêmes délices::Pascale Cartrain::Boulevard Tirou, 255::Charleroi::B-6000::Belgium 
_x000D_15::Comércio Mineiro::Pedro Afonso::Av. dos Lusíadas, 23::São Paulo::05432-043::Brazil 
_x000D_21::Familia Arquibaldo::Aria Cruz::Rua Orós, 92::São Paulo::05442-030::Brazil 
_x000D_31::Gourmet Lanchonetes::André Fonseca::Av. Brasil, 442::Campinas::04876-786::Brazil 
_x000D_34::Hanari Carnes::Mario Pontes::Rua do Paço, 67::Rio de Janeiro::05454-876::Brazil 
_x000D_61::Que Delícia::Bernardo Batista::Rua da Panificadora, 12::Rio de Janeiro::02389-673::Brazil 
_x000D_62::Queen Cozinha::Lúcia Carvalho::Alameda dos Canàrios, 891::São Paulo::05487-020::Brazil 
_x000D_67::Ricardo Adocicados::Janete Limeira::Av. Copacabana, 267::Rio de Janeiro::02389-890::Brazil 
_x000D_81::Tradição Hipermercados::Anabela Domingues::Av. Inês de Castro, 414::São Paulo::05634-030::Brazil 
_x000D_88::Wellington Importadora::Paula Parente::Rua do Mercado, 12::Resende::08737-363::Brazil 
_x000D_10::Bottom-Dollar Marketse::Elizabeth Lincoln::23 Tsawassen Blvd.::Tsawassen::T2F 8M4::Canada 
_x000D_42::Laughing Bacchus Wine Cellars::Yoshi Tannamuri::1900 Oak St.::Vancouver::V3F 2K1::Canada 
_x000D_51::Mère Paillarde::Jean Fresnière::43 rue St. Laurent::Montréal::H1J 1C3::Canada 
_x000D_73::Simons bistro::Jytte Petersen::Vinbæltet 34::København::1734::Denmark 
_x000D_83::Vaffeljernet::Palle Ibsen::Smagsløget 45::Århus::8200::Denmark 
_x000D_87::Wartian Herkku::Pirkko Koskitalo::Torikatu 38::Oulu::90110::Finland 
_x000D_90::Wilman Kala::Matti Karttunen::Keskuskatu 45::Helsinki::21240::Finland 
_x000D_7::Blondel père et fils::Frédérique Citeaux::24, place Kléber::Strasbourg::67000::France 
_x000D_9::Bon app'::Laurence Lebihans::12, rue des Bouchers::Marseille::13008::France 
_x000D_18::Du monde entier::Janine Labrune::67, rue des Cinquante Otages::Nantes::44000::France 
_x000D_23::Folies gourmandes::Martine Rancé::184, chaussée de Tournai::Lille::59000::France 
_x000D_26::France restauration::Carine Schmitt::54, rue Royale::Nantes::44000::France 
_x000D_40::La corne d'abondance::Daniel Tonini::67, avenue de l'Europe::Versailles::78000::France 
_x000D_41::La maison d'Asie::Annette Roulet::1 rue Alsace-Lorraine::Toulouse::31000::France 
_x000D_57::Paris spécialités::Marie Bertrand::265, boulevard Charonne::Paris::75012::France 
_x000D_74::Spécialités du monde::Dominique Perrier::25, rue Lauriston::Paris::75016::France 
_x000D_84::Victuailles en stock::Mary Saveley::2, rue du Commerce::Lyon::69004::France 
_x000D_85::Vins et alcools Chevalier::Paul Henriot::59 rue de l'Abbaye::Reims::51100::France 
_x000D_1::Alfreds Futterkiste::Maria Anders::Obere Str. 57::Berlin::12209::Germany 
_x000D_6::Blauer See Delikatessen::Hanna Moos::Forsterstr. 57::Mannheim::68306::Germany 
_x000D_17::Drachenblut Delikatessend::Sven Ottlieb::Walserweg 21::Aachen::52066::Germany 
_x000D_25::Frankenversand::Peter Franken::Berliner Platz 43::München::80805::Germany 
_x000D_39::Königlich Essen::Philip Cramer::Maubelstr. 90::Brandenburg::14776::Germany 
_x000D_44::Lehmanns Marktstand::Renate Messner::Magazinweg 7::Frankfurt a.M.::60528::Germany 
_x000D_52::Morgenstern Gesundkost::Alexander Feuer::Heerstr. 22::Leipzig::4179::Germany 
_x000D_56::Ottilies Käseladen::Henriette Pfalzheim::Mehrheimerstr. 369::Köln::50739::Germany 
_x000D_63::QUICK-Stop::Horst Kloss::Taucherstraße 10::Cunewalde::1307::Germany 
_x000D_79::Toms Spezialitäten::Karin Josephs::Luisenstr. 48::Münster::44087::Germany 
_x000D_86::Die Wandernde Kuh::Rita Müller::Adenauerallee 900::Stuttgart::70563::Germany 
_x000D_37::Hungry Owl All-Night Grocers::Patricia McKenna::8 Johnstown Road::Cork::::Ireland 
_x000D_27::Franchi S.p.A.::Paolo Accorti::Via Monte Bianco 34::Torino::10100::Italy 
_x000D_49::Magazzini Alimentari Riuniti::Giovanni Rovelli::Via Ludovico il Moro 22::Bergamo::24100::Italy 
_x000D_66::Reggiani Caseifici::Maurizio Moroni::Strada Provinciale 124::Reggio Emilia::42100::Italy 
_x000D_2::Ana Trujillo Emparedados y helados::Ana Trujillo::Avda. de la Constitución 2222::México D.F.::5021::Mexico 
_x000D_3::Antonio Moreno Taquería::Antonio Moreno::Mataderos 2312::México D.F.::5023::Mexico 
_x000D_13::Centro comercial Moctezuma::Francisco Chang::Sierras de Granada 9993::México D.F.::5022::Mexico 
_x000D_58::Pericles Comidas clásicas::Guillermo Fernández::Calle Dr. Jorge Cash 321::México D.F.::5033::Mexico 
_x000D_80::Tortuga Restaurante::Miguel Angel Paolino::Avda. Azteca 123::México D.F.::5033::Mexico 
_x000D_70::Santé Gourmet::Jonas Bergulfsen::Erling Skakkes gate 78::Stavern::4110::Norway 
_x000D_91::Wolski::Zbyszek::ul. Filtrowa 68::Walla::01-012::Poland 
_x000D_28::Furia Bacalhau e Frutos do Mar::Lino Rodriguez::Jardim das rosas n. 32::Lisboa::1675::Portugal 
_x000D_60::Princesa Isabel Vinhoss::Isabel de Castro::Estrada da saúde n. 58::Lisboa::1756::Portugal 
_x000D_8::Bólido Comidas preparadas::Martín Sommer::C/ Araquil, 67::Madrid::28023::Spain 
_x000D_22::FISSA Fabrica Inter. Salchichas S.A.::Diego Roel::C/ Moralzarzal, 86::Madrid::28034::Spain 
_x000D_29::Galería del gastrónomo::Eduardo Saavedra::Rambla de Cataluña, 23::Barcelona::8022::Spain 
_x000D_30::Godos Cocina Típica::José Pedro Freyre::C/ Romero, 33::Sevilla::41101::Spain 
_x000D_69::Romero y tomillo::Alejandra Camino::Gran Vía, 1::Madrid::28001::Spain 
_x000D_5::Berglunds snabbköp::Christina Berglund::Berguvsvägen 8::Luleå::S-958 22::Sweden 
_x000D_24::Folk och fä HB::Maria Larsson::Åkergatan 24::Bräcke::S-844 67::Sweden 
_x000D_14::Chop-suey Chinese::Yang Wang::Hauptstr. 29::Bern::3012::Switzerland 
_x000D_68::Richter Supermarkt::Michael Holz::Grenzacherweg 237::Genève::1203::Switzerland 
_x000D_4::Around the Horn::Thomas Hardy::120 Hanover Sq.::London::WA1 1DP::UK 
_x000D_11::B's Beverages::Victoria Ashworth::Fauntleroy Circus::London::EC2 5NT::UK 
_x000D_16::Consolidated Holdings::Elizabeth Brown::Berkeley Gardens 12 Brewery::London::WX1 6LT::UK 
_x000D_19::Eastern Connection::Ann Devon::35 King George::London::WX3 6FW::UK 
_x000D_38::Island Trading::Helen Bennett::Garden House Crowther Way::Cowes::PO31 7PJ::UK 
_x000D_53::North/South::Simon Crowther::South House 300 Queensbridge::London::SW7 1RZ::UK 
_x000D_72::Seven Seas Imports::Hari Kumar::90 Wadhurst Rd.::London::OX15 4NB::UK 
_x000D_32::Great Lakes Food Market::Howard Snyder::2732 Baker Blvd.::Eugene::97403::USA 
_x000D_36::Hungry Coyote Import Store::Yoshi Latimer::City Center Plaza 516 Main St.::Elgin::97827::USA 
_x000D_43::Lazy K Kountry Store::John Steel::12 Orchestra Terrace::Walla Walla::99362::USA 
_x000D_45::Let's Stop N Shop::Jaime Yorres::87 Polk St. Suite 5::San Francisco::94117::USA 
_x000D_48::Lonesome Pine Restaurant::Fran Wilson::89 Chiaroscuro Rd.::Portland::97219::USA 
_x000D_55::Old World Delicatessen::Rene Phillips::2743 Bering St.::Anchorage::99508::USA 
_x000D_65::Rattlesnake Canyon Grocery::Paula Wilson::2817 Milton Dr.::Albuquerque::87110::USA 
_x000D_71::Save-a-lot Markets::Jose Pavarotti::187 Suffolk Ln.::Boise::83720::USA 
_x000D_75::Split Rail Beer &amp; Ale::Art Braunschweiger::P.O. Box 555::Lander::82520::USA 
_x000D_77::The Big Cheese::Liz Nixon::89 Jefferson Way Suite 2::Portland::97201::USA 
_x000D_78::The Cracker Box::Liu Wong::55 Grizzly Peak Rd.::Butte::59801::USA 
_x000D_82::Trail's Head Gourmet Provisioners::Helvetius Nagy::722 DaVinci Blvd.::Kirkland::98034::USA 
_x000D_89::White Clover Markets::Karl Jablonski::305 - 14th Ave. S. Suite 3B::Seattle::98128::USA 
_x000D_33::GROSELLA-Restaurante::Manuel Pereira::5ª Ave. Los Palos Grandes::Caracas::1081::Venezuela 
_x000D_35::HILARIÓN-Abastos::Carlos Hernández::Carrera 22 con Ave. Carlos Soublette #8-35::San Cristóbal::5022::Venezuela 
_x000D_46::LILA-Supermercado::Carlos González::Carrera 52 con Ave. Bolívar #65-98 Llano Largo::Barquisimeto::3508::Venezuela 
_x000D_47::LINO-Delicateses::Felipe Izquierdo::Ave. 5 de Mayo Porlamar::I. de Margarita::4980::Venezuela</v>
      </c>
      <c r="C12" s="19" t="str">
        <f t="shared" si="1"/>
        <v>_ t1
_x000D_R * t1
_x000D_O Country ASC
_x000D_R -</v>
      </c>
      <c r="D12" s="23" t="str">
        <f t="shared" si="2"/>
        <v xml:space="preserve">SELECT !* FROM @t1 ORDER BY @Country </v>
      </c>
    </row>
    <row r="13" spans="1:4" ht="68.5" customHeight="1">
      <c r="A13" s="19" t="s">
        <v>722</v>
      </c>
      <c r="B13" s="19" t="str">
        <f>relSql(A13,Customers)</f>
        <v>Country::c 
_x000D_Sweden::8 
_x000D_Ireland::8 
_x000D_Venezuela::8 
_x000D_Canada::8 
_x000D_Austria::8 
_x000D_Portugal::8 
_x000D_Argentina::8 
_x000D_Italy::8 
_x000D_Switzerland::8 
_x000D_Spain::8 
_x000D_Norway::8 
_x000D_UK::8 
_x000D_Belgium::8 
_x000D_Mexico::8 
_x000D_Denmark::8 
_x000D_France::8 
_x000D_Germany::8 
_x000D_Brazil::8 
_x000D_USA::8 
_x000D_Finland::8 
_x000D_Poland::8</v>
      </c>
      <c r="C13" s="19" t="str">
        <f t="shared" si="1"/>
        <v>_ t1
_x000D_R * t1
_x000D_E c ?	#2	#3	*POW
_x000D_P country::c
_x000D_R -</v>
      </c>
      <c r="D13" s="23" t="str">
        <f t="shared" si="2"/>
        <v xml:space="preserve">SELECT @country ,, *POW (( #2 ,, #3 )) AS @c FROM @t1 </v>
      </c>
    </row>
    <row r="14" spans="1:4" ht="64" customHeight="1">
      <c r="A14" s="19" t="s">
        <v>706</v>
      </c>
      <c r="B14" s="19" t="str">
        <f t="shared" si="0"/>
        <v>CustomerID::CustomerName::ContactName::Address::City::PostalCode::Country 
_x000D_64::Rancho grande::Sergio Gutiérrez::Av. del Libertador 900::Buenos Aires::1010::Argentina 
_x000D_54::Océano Atlántico Ltda.::Yvonne Moncada::Ing. Gustavo Moncada 8585 Piso 20-A::Buenos Aires::1010::Argentina 
_x000D_12::Cactus Comidas para llevar::Patricio Simpson::Cerrito 333::Buenos Aires::1010::Argentina 
_x000D_59::Piccolo und mehr::Georg Pipps::Geislweg 14::Salzburg::5020::Austria 
_x000D_20::Ernst Handel::Roland Mendel::Kirchgasse 6::Graz::8010::Austria 
_x000D_76::Suprêmes délices::Pascale Cartrain::Boulevard Tirou, 255::Charleroi::B-6000::Belgium 
_x000D_50::Maison Dewey::Catherine Dewey::Rue Joseph-Bens 532::Bruxelles::B-1180::Belgium 
_x000D_88::Wellington Importadora::Paula Parente::Rua do Mercado, 12::Resende::08737-363::Brazil 
_x000D_81::Tradição Hipermercados::Anabela Domingues::Av. Inês de Castro, 414::São Paulo::05634-030::Brazil 
_x000D_67::Ricardo Adocicados::Janete Limeira::Av. Copacabana, 267::Rio de Janeiro::02389-890::Brazil 
_x000D_62::Queen Cozinha::Lúcia Carvalho::Alameda dos Canàrios, 891::São Paulo::05487-020::Brazil 
_x000D_61::Que Delícia::Bernardo Batista::Rua da Panificadora, 12::Rio de Janeiro::02389-673::Brazil 
_x000D_34::Hanari Carnes::Mario Pontes::Rua do Paço, 67::Rio de Janeiro::05454-876::Brazil 
_x000D_31::Gourmet Lanchonetes::André Fonseca::Av. Brasil, 442::Campinas::04876-786::Brazil 
_x000D_21::Familia Arquibaldo::Aria Cruz::Rua Orós, 92::São Paulo::05442-030::Brazil 
_x000D_15::Comércio Mineiro::Pedro Afonso::Av. dos Lusíadas, 23::São Paulo::05432-043::Brazil 
_x000D_51::Mère Paillarde::Jean Fresnière::43 rue St. Laurent::Montréal::H1J 1C3::Canada 
_x000D_42::Laughing Bacchus Wine Cellars::Yoshi Tannamuri::1900 Oak St.::Vancouver::V3F 2K1::Canada 
_x000D_10::Bottom-Dollar Marketse::Elizabeth Lincoln::23 Tsawassen Blvd.::Tsawassen::T2F 8M4::Canada 
_x000D_83::Vaffeljernet::Palle Ibsen::Smagsløget 45::Århus::8200::Denmark 
_x000D_73::Simons bistro::Jytte Petersen::Vinbæltet 34::København::1734::Denmark 
_x000D_90::Wilman Kala::Matti Karttunen::Keskuskatu 45::Helsinki::21240::Finland 
_x000D_87::Wartian Herkku::Pirkko Koskitalo::Torikatu 38::Oulu::90110::Finland 
_x000D_85::Vins et alcools Chevalier::Paul Henriot::59 rue de l'Abbaye::Reims::51100::France 
_x000D_84::Victuailles en stock::Mary Saveley::2, rue du Commerce::Lyon::69004::France 
_x000D_74::Spécialités du monde::Dominique Perrier::25, rue Lauriston::Paris::75016::France 
_x000D_57::Paris spécialités::Marie Bertrand::265, boulevard Charonne::Paris::75012::France 
_x000D_41::La maison d'Asie::Annette Roulet::1 rue Alsace-Lorraine::Toulouse::31000::France 
_x000D_40::La corne d'abondance::Daniel Tonini::67, avenue de l'Europe::Versailles::78000::France 
_x000D_26::France restauration::Carine Schmitt::54, rue Royale::Nantes::44000::France 
_x000D_23::Folies gourmandes::Martine Rancé::184, chaussée de Tournai::Lille::59000::France 
_x000D_18::Du monde entier::Janine Labrune::67, rue des Cinquante Otages::Nantes::44000::France 
_x000D_9::Bon app'::Laurence Lebihans::12, rue des Bouchers::Marseille::13008::France 
_x000D_7::Blondel père et fils::Frédérique Citeaux::24, place Kléber::Strasbourg::67000::France 
_x000D_79::Toms Spezialitäten::Karin Josephs::Luisenstr. 48::Münster::44087::Germany 
_x000D_63::QUICK-Stop::Horst Kloss::Taucherstraße 10::Cunewalde::1307::Germany 
_x000D_56::Ottilies Käseladen::Henriette Pfalzheim::Mehrheimerstr. 369::Köln::50739::Germany 
_x000D_52::Morgenstern Gesundkost::Alexander Feuer::Heerstr. 22::Leipzig::4179::Germany 
_x000D_44::Lehmanns Marktstand::Renate Messner::Magazinweg 7::Frankfurt a.M.::60528::Germany 
_x000D_39::Königlich Essen::Philip Cramer::Maubelstr. 90::Brandenburg::14776::Germany 
_x000D_25::Frankenversand::Peter Franken::Berliner Platz 43::München::80805::Germany 
_x000D_17::Drachenblut Delikatessend::Sven Ottlieb::Walserweg 21::Aachen::52066::Germany 
_x000D_86::Die Wandernde Kuh::Rita Müller::Adenauerallee 900::Stuttgart::70563::Germany 
_x000D_6::Blauer See Delikatessen::Hanna Moos::Forsterstr. 57::Mannheim::68306::Germany 
_x000D_1::Alfreds Futterkiste::Maria Anders::Obere Str. 57::Berlin::12209::Germany 
_x000D_37::Hungry Owl All-Night Grocers::Patricia McKenna::8 Johnstown Road::Cork::::Ireland 
_x000D_66::Reggiani Caseifici::Maurizio Moroni::Strada Provinciale 124::Reggio Emilia::42100::Italy 
_x000D_49::Magazzini Alimentari Riuniti::Giovanni Rovelli::Via Ludovico il Moro 22::Bergamo::24100::Italy 
_x000D_27::Franchi S.p.A.::Paolo Accorti::Via Monte Bianco 34::Torino::10100::Italy 
_x000D_80::Tortuga Restaurante::Miguel Angel Paolino::Avda. Azteca 123::México D.F.::5033::Mexico 
_x000D_58::Pericles Comidas clásicas::Guillermo Fernández::Calle Dr. Jorge Cash 321::México D.F.::5033::Mexico 
_x000D_13::Centro comercial Moctezuma::Francisco Chang::Sierras de Granada 9993::México D.F.::5022::Mexico 
_x000D_3::Antonio Moreno Taquería::Antonio Moreno::Mataderos 2312::México D.F.::5023::Mexico 
_x000D_2::Ana Trujillo Emparedados y helados::Ana Trujillo::Avda. de la Constitución 2222::México D.F.::5021::Mexico 
_x000D_70::Santé Gourmet::Jonas Bergulfsen::Erling Skakkes gate 78::Stavern::4110::Norway 
_x000D_91::Wolski::Zbyszek::ul. Filtrowa 68::Walla::01-012::Poland 
_x000D_60::Princesa Isabel Vinhoss::Isabel de Castro::Estrada da saúde n. 58::Lisboa::1756::Portugal 
_x000D_28::Furia Bacalhau e Frutos do Mar::Lino Rodriguez::Jardim das rosas n. 32::Lisboa::1675::Portugal 
_x000D_69::Romero y tomillo::Alejandra Camino::Gran Vía, 1::Madrid::28001::Spain 
_x000D_30::Godos Cocina Típica::José Pedro Freyre::C/ Romero, 33::Sevilla::41101::Spain 
_x000D_29::Galería del gastrónomo::Eduardo Saavedra::Rambla de Cataluña, 23::Barcelona::8022::Spain 
_x000D_22::FISSA Fabrica Inter. Salchichas S.A.::Diego Roel::C/ Moralzarzal, 86::Madrid::28034::Spain 
_x000D_8::Bólido Comidas preparadas::Martín Sommer::C/ Araquil, 67::Madrid::28023::Spain 
_x000D_24::Folk och fä HB::Maria Larsson::Åkergatan 24::Bräcke::S-844 67::Sweden 
_x000D_5::Berglunds snabbköp::Christina Berglund::Berguvsvägen 8::Luleå::S-958 22::Sweden 
_x000D_68::Richter Supermarkt::Michael Holz::Grenzacherweg 237::Genève::1203::Switzerland 
_x000D_14::Chop-suey Chinese::Yang Wang::Hauptstr. 29::Bern::3012::Switzerland 
_x000D_72::Seven Seas Imports::Hari Kumar::90 Wadhurst Rd.::London::OX15 4NB::UK 
_x000D_53::North/South::Simon Crowther::South House 300 Queensbridge::London::SW7 1RZ::UK 
_x000D_38::Island Trading::Helen Bennett::Garden House Crowther Way::Cowes::PO31 7PJ::UK 
_x000D_19::Eastern Connection::Ann Devon::35 King George::London::WX3 6FW::UK 
_x000D_16::Consolidated Holdings::Elizabeth Brown::Berkeley Gardens 12 Brewery::London::WX1 6LT::UK 
_x000D_11::B's Beverages::Victoria Ashworth::Fauntleroy Circus::London::EC2 5NT::UK 
_x000D_4::Around the Horn::Thomas Hardy::120 Hanover Sq.::London::WA1 1DP::UK 
_x000D_89::White Clover Markets::Karl Jablonski::305 - 14th Ave. S. Suite 3B::Seattle::98128::USA 
_x000D_82::Trail's Head Gourmet Provisioners::Helvetius Nagy::722 DaVinci Blvd.::Kirkland::98034::USA 
_x000D_78::The Cracker Box::Liu Wong::55 Grizzly Peak Rd.::Butte::59801::USA 
_x000D_77::The Big Cheese::Liz Nixon::89 Jefferson Way Suite 2::Portland::97201::USA 
_x000D_75::Split Rail Beer &amp; Ale::Art Braunschweiger::P.O. Box 555::Lander::82520::USA 
_x000D_71::Save-a-lot Markets::Jose Pavarotti::187 Suffolk Ln.::Boise::83720::USA 
_x000D_65::Rattlesnake Canyon Grocery::Paula Wilson::2817 Milton Dr.::Albuquerque::87110::USA 
_x000D_55::Old World Delicatessen::Rene Phillips::2743 Bering St.::Anchorage::99508::USA 
_x000D_48::Lonesome Pine Restaurant::Fran Wilson::89 Chiaroscuro Rd.::Portland::97219::USA 
_x000D_45::Let's Stop N Shop::Jaime Yorres::87 Polk St. Suite 5::San Francisco::94117::USA 
_x000D_43::Lazy K Kountry Store::John Steel::12 Orchestra Terrace::Walla Walla::99362::USA 
_x000D_36::Hungry Coyote Import Store::Yoshi Latimer::City Center Plaza 516 Main St.::Elgin::97827::USA 
_x000D_32::Great Lakes Food Market::Howard Snyder::2732 Baker Blvd.::Eugene::97403::USA 
_x000D_47::LINO-Delicateses::Felipe Izquierdo::Ave. 5 de Mayo Porlamar::I. de Margarita::4980::Venezuela 
_x000D_46::LILA-Supermercado::Carlos González::Carrera 52 con Ave. Bolívar #65-98 Llano Largo::Barquisimeto::3508::Venezuela 
_x000D_35::HILARIÓN-Abastos::Carlos Hernández::Carrera 22 con Ave. Carlos Soublette #8-35::San Cristóbal::5022::Venezuela 
_x000D_33::GROSELLA-Restaurante::Manuel Pereira::5ª Ave. Los Palos Grandes::Caracas::1081::Venezuela</v>
      </c>
      <c r="C14" s="19" t="str">
        <f t="shared" si="1"/>
        <v>_ t1
_x000D_R * t1
_x000D_O Country ASC::CustomerName DESC
_x000D_R -</v>
      </c>
      <c r="D14" s="23" t="str">
        <f t="shared" si="2"/>
        <v xml:space="preserve">SELECT !* FROM @t1 ORDER BY @Country ASC ,, @CustomerName DESC </v>
      </c>
    </row>
    <row r="15" spans="1:4" ht="50" customHeight="1">
      <c r="A15" s="19" t="s">
        <v>707</v>
      </c>
      <c r="B15" s="19" t="str">
        <f t="shared" si="0"/>
        <v>CustomerID::CustomerName::ContactName::Address::City::PostalCode::Country 
_x000D_12::Cactus Comidas para llevar::Patricio Simpson::Cerrito 333::Buenos Aires::1010::Argentina 
_x000D_54::Océano Atlántico Ltda.::Yvonne Moncada::Ing. Gustavo Moncada 8585 Piso 20-A::Buenos Aires::1010::Argentina 
_x000D_64::Rancho grande::Sergio Gutiérrez::Av. del Libertador 900::Buenos Aires::1010::Argentina 
_x000D_20::Ernst Handel::Roland Mendel::Kirchgasse 6::Graz::8010::Austria 
_x000D_59::Piccolo und mehr::Georg Pipps::Geislweg 14::Salzburg::5020::Austria 
_x000D_50::Maison Dewey::Catherine Dewey::Rue Joseph-Bens 532::Bruxelles::B-1180::Belgium 
_x000D_76::Suprêmes délices::Pascale Cartrain::Boulevard Tirou, 255::Charleroi::B-6000::Belgium 
_x000D_15::Comércio Mineiro::Pedro Afonso::Av. dos Lusíadas, 23::São Paulo::05432-043::Brazil 
_x000D_21::Familia Arquibaldo::Aria Cruz::Rua Orós, 92::São Paulo::05442-030::Brazil 
_x000D_31::Gourmet Lanchonetes::André Fonseca::Av. Brasil, 442::Campinas::04876-786::Brazil 
_x000D_34::Hanari Carnes::Mario Pontes::Rua do Paço, 67::Rio de Janeiro::05454-876::Brazil 
_x000D_61::Que Delícia::Bernardo Batista::Rua da Panificadora, 12::Rio de Janeiro::02389-673::Brazil 
_x000D_62::Queen Cozinha::Lúcia Carvalho::Alameda dos Canàrios, 891::São Paulo::05487-020::Brazil 
_x000D_67::Ricardo Adocicados::Janete Limeira::Av. Copacabana, 267::Rio de Janeiro::02389-890::Brazil 
_x000D_81::Tradição Hipermercados::Anabela Domingues::Av. Inês de Castro, 414::São Paulo::05634-030::Brazil 
_x000D_88::Wellington Importadora::Paula Parente::Rua do Mercado, 12::Resende::08737-363::Brazil 
_x000D_10::Bottom-Dollar Marketse::Elizabeth Lincoln::23 Tsawassen Blvd.::Tsawassen::T2F 8M4::Canada 
_x000D_42::Laughing Bacchus Wine Cellars::Yoshi Tannamuri::1900 Oak St.::Vancouver::V3F 2K1::Canada 
_x000D_51::Mère Paillarde::Jean Fresnière::43 rue St. Laurent::Montréal::H1J 1C3::Canada 
_x000D_73::Simons bistro::Jytte Petersen::Vinbæltet 34::København::1734::Denmark 
_x000D_83::Vaffeljernet::Palle Ibsen::Smagsløget 45::Århus::8200::Denmark 
_x000D_87::Wartian Herkku::Pirkko Koskitalo::Torikatu 38::Oulu::90110::Finland 
_x000D_90::Wilman Kala::Matti Karttunen::Keskuskatu 45::Helsinki::21240::Finland 
_x000D_7::Blondel père et fils::Frédérique Citeaux::24, place Kléber::Strasbourg::67000::France 
_x000D_9::Bon app'::Laurence Lebihans::12, rue des Bouchers::Marseille::13008::France 
_x000D_18::Du monde entier::Janine Labrune::67, rue des Cinquante Otages::Nantes::44000::France 
_x000D_23::Folies gourmandes::Martine Rancé::184, chaussée de Tournai::Lille::59000::France 
_x000D_26::France restauration::Carine Schmitt::54, rue Royale::Nantes::44000::France 
_x000D_40::La corne d'abondance::Daniel Tonini::67, avenue de l'Europe::Versailles::78000::France 
_x000D_41::La maison d'Asie::Annette Roulet::1 rue Alsace-Lorraine::Toulouse::31000::France 
_x000D_57::Paris spécialités::Marie Bertrand::265, boulevard Charonne::Paris::75012::France 
_x000D_74::Spécialités du monde::Dominique Perrier::25, rue Lauriston::Paris::75016::France 
_x000D_84::Victuailles en stock::Mary Saveley::2, rue du Commerce::Lyon::69004::France 
_x000D_85::Vins et alcools Chevalier::Paul Henriot::59 rue de l'Abbaye::Reims::51100::France 
_x000D_1::Alfreds Futterkiste::Maria Anders::Obere Str. 57::Berlin::12209::Germany 
_x000D_6::Blauer See Delikatessen::Hanna Moos::Forsterstr. 57::Mannheim::68306::Germany 
_x000D_86::Die Wandernde Kuh::Rita Müller::Adenauerallee 900::Stuttgart::70563::Germany 
_x000D_17::Drachenblut Delikatessend::Sven Ottlieb::Walserweg 21::Aachen::52066::Germany 
_x000D_25::Frankenversand::Peter Franken::Berliner Platz 43::München::80805::Germany 
_x000D_39::Königlich Essen::Philip Cramer::Maubelstr. 90::Brandenburg::14776::Germany 
_x000D_44::Lehmanns Marktstand::Renate Messner::Magazinweg 7::Frankfurt a.M.::60528::Germany 
_x000D_52::Morgenstern Gesundkost::Alexander Feuer::Heerstr. 22::Leipzig::4179::Germany 
_x000D_56::Ottilies Käseladen::Henriette Pfalzheim::Mehrheimerstr. 369::Köln::50739::Germany 
_x000D_63::QUICK-Stop::Horst Kloss::Taucherstraße 10::Cunewalde::1307::Germany 
_x000D_79::Toms Spezialitäten::Karin Josephs::Luisenstr. 48::Münster::44087::Germany 
_x000D_37::Hungry Owl All-Night Grocers::Patricia McKenna::8 Johnstown Road::Cork::::Ireland 
_x000D_27::Franchi S.p.A.::Paolo Accorti::Via Monte Bianco 34::Torino::10100::Italy 
_x000D_49::Magazzini Alimentari Riuniti::Giovanni Rovelli::Via Ludovico il Moro 22::Bergamo::24100::Italy 
_x000D_66::Reggiani Caseifici::Maurizio Moroni::Strada Provinciale 124::Reggio Emilia::42100::Italy 
_x000D_2::Ana Trujillo Emparedados y helados::Ana Trujillo::Avda. de la Constitución 2222::México D.F.::5021::Mexico 
_x000D_3::Antonio Moreno Taquería::Antonio Moreno::Mataderos 2312::México D.F.::5023::Mexico 
_x000D_13::Centro comercial Moctezuma::Francisco Chang::Sierras de Granada 9993::México D.F.::5022::Mexico 
_x000D_58::Pericles Comidas clásicas::Guillermo Fernández::Calle Dr. Jorge Cash 321::México D.F.::5033::Mexico 
_x000D_80::Tortuga Restaurante::Miguel Angel Paolino::Avda. Azteca 123::México D.F.::5033::Mexico 
_x000D_70::Santé Gourmet::Jonas Bergulfsen::Erling Skakkes gate 78::Stavern::4110::Norway 
_x000D_91::Wolski::Zbyszek::ul. Filtrowa 68::Walla::01-012::Poland 
_x000D_28::Furia Bacalhau e Frutos do Mar::Lino Rodriguez::Jardim das rosas n. 32::Lisboa::1675::Portugal 
_x000D_60::Princesa Isabel Vinhoss::Isabel de Castro::Estrada da saúde n. 58::Lisboa::1756::Portugal 
_x000D_8::Bólido Comidas preparadas::Martín Sommer::C/ Araquil, 67::Madrid::28023::Spain 
_x000D_22::FISSA Fabrica Inter. Salchichas S.A.::Diego Roel::C/ Moralzarzal, 86::Madrid::28034::Spain 
_x000D_29::Galería del gastrónomo::Eduardo Saavedra::Rambla de Cataluña, 23::Barcelona::8022::Spain 
_x000D_30::Godos Cocina Típica::José Pedro Freyre::C/ Romero, 33::Sevilla::41101::Spain 
_x000D_69::Romero y tomillo::Alejandra Camino::Gran Vía, 1::Madrid::28001::Spain 
_x000D_5::Berglunds snabbköp::Christina Berglund::Berguvsvägen 8::Luleå::S-958 22::Sweden 
_x000D_24::Folk och fä HB::Maria Larsson::Åkergatan 24::Bräcke::S-844 67::Sweden 
_x000D_14::Chop-suey Chinese::Yang Wang::Hauptstr. 29::Bern::3012::Switzerland 
_x000D_68::Richter Supermarkt::Michael Holz::Grenzacherweg 237::Genève::1203::Switzerland 
_x000D_4::Around the Horn::Thomas Hardy::120 Hanover Sq.::London::WA1 1DP::UK 
_x000D_11::B's Beverages::Victoria Ashworth::Fauntleroy Circus::London::EC2 5NT::UK 
_x000D_16::Consolidated Holdings::Elizabeth Brown::Berkeley Gardens 12 Brewery::London::WX1 6LT::UK 
_x000D_19::Eastern Connection::Ann Devon::35 King George::London::WX3 6FW::UK 
_x000D_38::Island Trading::Helen Bennett::Garden House Crowther Way::Cowes::PO31 7PJ::UK 
_x000D_53::North/South::Simon Crowther::South House 300 Queensbridge::London::SW7 1RZ::UK 
_x000D_72::Seven Seas Imports::Hari Kumar::90 Wadhurst Rd.::London::OX15 4NB::UK 
_x000D_32::Great Lakes Food Market::Howard Snyder::2732 Baker Blvd.::Eugene::97403::USA 
_x000D_36::Hungry Coyote Import Store::Yoshi Latimer::City Center Plaza 516 Main St.::Elgin::97827::USA 
_x000D_43::Lazy K Kountry Store::John Steel::12 Orchestra Terrace::Walla Walla::99362::USA 
_x000D_45::Let's Stop N Shop::Jaime Yorres::87 Polk St. Suite 5::San Francisco::94117::USA 
_x000D_48::Lonesome Pine Restaurant::Fran Wilson::89 Chiaroscuro Rd.::Portland::97219::USA 
_x000D_55::Old World Delicatessen::Rene Phillips::2743 Bering St.::Anchorage::99508::USA 
_x000D_65::Rattlesnake Canyon Grocery::Paula Wilson::2817 Milton Dr.::Albuquerque::87110::USA 
_x000D_71::Save-a-lot Markets::Jose Pavarotti::187 Suffolk Ln.::Boise::83720::USA 
_x000D_75::Split Rail Beer &amp; Ale::Art Braunschweiger::P.O. Box 555::Lander::82520::USA 
_x000D_77::The Big Cheese::Liz Nixon::89 Jefferson Way Suite 2::Portland::97201::USA 
_x000D_78::The Cracker Box::Liu Wong::55 Grizzly Peak Rd.::Butte::59801::USA 
_x000D_82::Trail's Head Gourmet Provisioners::Helvetius Nagy::722 DaVinci Blvd.::Kirkland::98034::USA 
_x000D_89::White Clover Markets::Karl Jablonski::305 - 14th Ave. S. Suite 3B::Seattle::98128::USA 
_x000D_33::GROSELLA-Restaurante::Manuel Pereira::5ª Ave. Los Palos Grandes::Caracas::1081::Venezuela 
_x000D_35::HILARIÓN-Abastos::Carlos Hernández::Carrera 22 con Ave. Carlos Soublette #8-35::San Cristóbal::5022::Venezuela 
_x000D_46::LILA-Supermercado::Carlos González::Carrera 52 con Ave. Bolívar #65-98 Llano Largo::Barquisimeto::3508::Venezuela 
_x000D_47::LINO-Delicateses::Felipe Izquierdo::Ave. 5 de Mayo Porlamar::I. de Margarita::4980::Venezuela</v>
      </c>
      <c r="C15" s="19" t="str">
        <f t="shared" si="1"/>
        <v>_ t1
_x000D_R * t1
_x000D_O Country ASC::CustomerName ASC
_x000D_R -</v>
      </c>
      <c r="D15" s="23" t="str">
        <f t="shared" si="2"/>
        <v xml:space="preserve">SELECT !* FROM @t1 ORDER BY @Country ,, @CustomerName </v>
      </c>
    </row>
    <row r="16" spans="1:4" ht="40" customHeight="1">
      <c r="A16" s="19" t="s">
        <v>702</v>
      </c>
      <c r="B16" s="19" t="str">
        <f t="shared" si="0"/>
        <v>CustomerID::CustomerName::ContactName::Address::City::PostalCode::Country 
_x000D_1::Alfreds Futterkiste::Maria Anders::Obere Str. 57::Berlin::12209::Germany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_x000D_6::Blauer See Delikatessen::Hanna Moos::Forsterstr. 57::Mannheim::68306::Germany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_x000D_17::Drachenblut Delikatessend::Sven Ottlieb::Walserweg 21::Aachen::52066::Germany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_x000D_25::Frankenversand::Peter Franken::Berliner Platz 43::München::80805::Germany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_x000D_39::Königlich Essen::Philip Cramer::Maubelstr. 90::Brandenburg::14776::Germany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_x000D_44::Lehmanns Marktstand::Renate Messner::Magazinweg 7::Frankfurt a.M.::60528::Germany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_x000D_52::Morgenstern Gesundkost::Alexander Feuer::Heerstr. 22::Leipzig::4179::Germany 
_x000D_53::North/South::Simon Crowther::South House 300 Queensbridge::London::SW7 1RZ::UK 
_x000D_54::Océano Atlántico Ltda.::Yvonne Moncada::Ing. Gustavo Moncada 8585 Piso 20-A::Buenos Aires::1010::Argentina 
_x000D_55::Old World Delicatessen::Rene Phillips::2743 Bering St.::Anchorage::99508::USA 
_x000D_56::Ottilies Käseladen::Henriette Pfalzheim::Mehrheimerstr. 369::Köln::50739::Germany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_x000D_63::QUICK-Stop::Horst Kloss::Taucherstraße 10::Cunewalde::1307::Germany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_x000D_79::Toms Spezialitäten::Karin Josephs::Luisenstr. 48::Münster::44087::Germany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_x000D_86::Die Wandernde Kuh::Rita Müller::Adenauerallee 900::Stuttgart::70563::Germany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16" s="19" t="str">
        <f t="shared" si="1"/>
        <v>_ t1
_x000D_R * t1
_x000D_R -</v>
      </c>
      <c r="D16" s="23" t="str">
        <f t="shared" si="2"/>
        <v xml:space="preserve">SELECT !* FROM @t1 </v>
      </c>
    </row>
    <row r="17" spans="1:7" ht="63" customHeight="1">
      <c r="A17" s="19" t="s">
        <v>723</v>
      </c>
      <c r="B17" s="19" t="str">
        <f t="shared" si="0"/>
        <v>CustomerID::CustomerName::ContactName::Address::City::PostalCode::Country 
_x000D_1::Alfreds Futterkiste::Maria Anders::Obere Str. 57::Berlin::12209::Germany 
_x000D_10::Bottom-Dollar Marketse::Elizabeth Lincoln::23 Tsawassen Blvd.::Tsawassen::T2F 8M4::Canada 
_x000D_56::Ottilies Käseladen::Henriette Pfalzheim::Mehrheimerstr. 369::Köln::50739::Germany 
_x000D_65::Rattlesnake Canyon Grocery::Paula Wilson::2817 Milton Dr.::Albuquerque::87110::USA</v>
      </c>
      <c r="C17" s="19" t="str">
        <f t="shared" si="1"/>
        <v>_ t1
_x000D_R * t1
_x000D_S ?	@CustomerName	$"%tt%"	!LIKE
_x000D_R -</v>
      </c>
      <c r="D17" s="23" t="str">
        <f t="shared" si="2"/>
        <v xml:space="preserve">SELECT !* FROM @t1 WHERE @CustomerName !LIKE $"%tt%" </v>
      </c>
    </row>
    <row r="18" spans="1:7" ht="113.5" customHeight="1">
      <c r="A18" s="19" t="s">
        <v>729</v>
      </c>
      <c r="B18" s="19" t="str">
        <f>relSql(A18,Customers)</f>
        <v>Country::n 
_x000D_Ireland::1 
_x000D_Poland::1</v>
      </c>
      <c r="C18" s="19" t="str">
        <f t="shared" si="1"/>
        <v>_ t1
_x000D_R * t1
_x000D_S ?	@Country	$"%land%"	!LIKE
_x000D_E n_temp ?	@Country	
_x000D_P Country::n_temp COUNT
_x000D_R n_temp_count n
_x000D_S ?	@n	#2	!&lt; 
_x000D_P Country::n
_x000D_O Country ASC
_x000D_R -</v>
      </c>
      <c r="D18" s="23" t="str">
        <f t="shared" si="2"/>
        <v xml:space="preserve">SELECT @Country ,, +COUNT (( @Country )) AS @n FROM @t1 WHERE @Country !LIKE $"%land%" HAVING @n !&lt;  #2 ORDER BY @Country </v>
      </c>
    </row>
    <row r="19" spans="1:7" ht="37" customHeight="1">
      <c r="A19" s="19" t="s">
        <v>715</v>
      </c>
      <c r="B19" s="19" t="str">
        <f>relSql(A19,Products)</f>
        <v>p_min 
_x000D_2.5</v>
      </c>
      <c r="C19" s="19" t="str">
        <f t="shared" si="1"/>
        <v>_ t1
_x000D_R * t1
_x000D_E p_min_temp ?	@Price	
_x000D_P p_min_temp MIN
_x000D_R p_min_temp_min p_min
_x000D_P p_min
_x000D_R -</v>
      </c>
      <c r="D19" s="23" t="str">
        <f t="shared" si="2"/>
        <v xml:space="preserve">SELECT +MIN (( @Price )) AS @p_min FROM @t1 </v>
      </c>
      <c r="E19" s="19"/>
      <c r="F19" s="19"/>
      <c r="G19" s="19"/>
    </row>
    <row r="20" spans="1:7" ht="105">
      <c r="A20" s="19" t="s">
        <v>728</v>
      </c>
      <c r="B20" s="19" t="str">
        <f>relSql(A20,Products)</f>
        <v>p_avg 
_x000D_86.5990909090908</v>
      </c>
      <c r="C20" s="19" t="str">
        <f t="shared" si="1"/>
        <v>_ t1
_x000D_R * t1
_x000D_E p_avg_temp ?	@Price	
_x000D_P p_avg_temp AVG
_x000D_E p_avg ?	@p_avg_temp_avg	#2	!*	#1.5	!*	
_x000D_P p_avg
_x000D_R -</v>
      </c>
      <c r="D20" s="23" t="str">
        <f t="shared" si="2"/>
        <v xml:space="preserve">SELECT +AVG (( @Price )) !* #2 !* #1.5 AS @p_avg FROM @t1 </v>
      </c>
    </row>
    <row r="21" spans="1:7" ht="99" customHeight="1">
      <c r="A21" s="19" t="s">
        <v>727</v>
      </c>
      <c r="B21" s="19" t="str">
        <f>relSql(A21,Orders,Customers)</f>
        <v>OrderID::CustomerName::OrderDate 
_x000D_10248::Wilman Kala::04.07.96 
_x000D_10249::Tradição Hipermercados::05.07.96 
_x000D_10250::Hanari Carnes::08.07.96 
_x000D_10251::Victuailles en stock::08.07.96 
_x000D_10252::Suprêmes délices::09.07.96 
_x000D_10253::Hanari Carnes::10.07.96 
_x000D_10254::Chop-suey Chinese::11.07.96 
_x000D_10255::Richter Supermarkt::12.07.96 
_x000D_10256::Wellington Importadora::15.07.96 
_x000D_10257::HILARIÓN-Abastos::16.07.96 
_x000D_10258::Ernst Handel::17.07.96 
_x000D_10259::Centro comercial Moctezuma::18.07.96 
_x000D_10260::Old World Delicatessen::19.07.96 
_x000D_10261::Que Delícia::19.07.96 
_x000D_10262::Rattlesnake Canyon Grocery::22.07.96 
_x000D_10263::Ernst Handel::23.07.96 
_x000D_10264::Folk och fä HB::24.07.96 
_x000D_10265::Blondel père et fils::25.07.96 
_x000D_10266::Wartian Herkku::26.07.96 
_x000D_10267::Frankenversand::29.07.96 
_x000D_10268::GROSELLA-Restaurante::30.07.96 
_x000D_10269::White Clover Markets::31.07.96 
_x000D_10270::Wartian Herkku::01.08.96 
_x000D_10271::Split Rail Beer &amp; Ale::01.08.96 
_x000D_10272::Rattlesnake Canyon Grocery::02.08.96 
_x000D_10273::QUICK-Stop::05.08.96 
_x000D_10274::Vins et alcools Chevalier::06.08.96 
_x000D_10275::Magazzini Alimentari Riuniti::07.08.96 
_x000D_10276::Tortuga Restaurante::08.08.96 
_x000D_10277::Morgenstern Gesundkost::09.08.96 
_x000D_10278::Berglunds snabbköp::12.08.96 
_x000D_10279::Lehmanns Marktstand::13.08.96 
_x000D_10280::Berglunds snabbköp::14.08.96 
_x000D_10281::Romero y tomillo::14.08.96 
_x000D_10282::Romero y tomillo::15.08.96 
_x000D_10283::LILA-Supermercado::16.08.96 
_x000D_10284::Lehmanns Marktstand::19.08.96 
_x000D_10285::QUICK-Stop::20.08.96 
_x000D_10286::QUICK-Stop::21.08.96 
_x000D_10287::Ricardo Adocicados::22.08.96 
_x000D_10288::Reggiani Caseifici::23.08.96 
_x000D_10289::B's Beverages::26.08.96 
_x000D_10290::Comércio Mineiro::27.08.96 
_x000D_10291::Que Delícia::27.08.96 
_x000D_10292::Tradição Hipermercados::28.08.96 
_x000D_10293::Tortuga Restaurante::29.08.96 
_x000D_10294::Rattlesnake Canyon Grocery::30.08.96 
_x000D_10295::Vins et alcools Chevalier::02.09.96 
_x000D_10296::LILA-Supermercado::03.09.96 
_x000D_10297::Blondel père et fils::04.09.96 
_x000D_10298::Hungry Owl All-Night Grocers::05.09.96 
_x000D_10299::Ricardo Adocicados::06.09.96 
_x000D_10300::Magazzini Alimentari Riuniti::09.09.96 
_x000D_10301::Die Wandernde Kuh::09.09.96 
_x000D_10302::Suprêmes délices::10.09.96 
_x000D_10303::Godos Cocina Típica::11.09.96 
_x000D_10304::Tortuga Restaurante::12.09.96 
_x000D_10305::Old World Delicatessen::13.09.96 
_x000D_10306::Romero y tomillo::16.09.96 
_x000D_10307::Lonesome Pine Restaurant::17.09.96 
_x000D_10308::Ana Trujillo Emparedados y helados::18.09.96 
_x000D_10309::Hungry Owl All-Night Grocers::19.09.96 
_x000D_10310::The Big Cheese::20.09.96 
_x000D_10311::Du monde entier::20.09.96 
_x000D_10312::Die Wandernde Kuh::23.09.96 
_x000D_10313::QUICK-Stop::24.09.96 
_x000D_10314::Rattlesnake Canyon Grocery::25.09.96 
_x000D_10315::Island Trading::26.09.96 
_x000D_10316::Rattlesnake Canyon Grocery::27.09.96 
_x000D_10317::Lonesome Pine Restaurant::30.09.96 
_x000D_10318::Island Trading::01.10.96 
_x000D_10319::Tortuga Restaurante::02.10.96 
_x000D_10320::Wartian Herkku::03.10.96 
_x000D_10321::Island Trading::03.10.96 
_x000D_10322::Pericles Comidas clásicas::04.10.96 
_x000D_10323::Königlich Essen::07.10.96 
_x000D_10324::Save-a-lot Markets::08.10.96 
_x000D_10325::Königlich Essen::09.10.96 
_x000D_10326::Bólido Comidas preparadas::10.10.96 
_x000D_10327::Folk och fä HB::11.10.96 
_x000D_10328::Furia Bacalhau e Frutos do Mar::14.10.96 
_x000D_10329::Split Rail Beer &amp; Ale::15.10.96 
_x000D_10330::LILA-Supermercado::16.10.96 
_x000D_10331::Bon app'::16.10.96 
_x000D_10332::Mère Paillarde::17.10.96 
_x000D_10333::Wartian Herkku::18.10.96 
_x000D_10334::Victuailles en stock::21.10.96 
_x000D_10335::Hungry Owl All-Night Grocers::22.10.96 
_x000D_10336::Princesa Isabel Vinhoss::23.10.96 
_x000D_10337::Frankenversand::24.10.96 
_x000D_10338::Old World Delicatessen::25.10.96 
_x000D_10339::Mère Paillarde::28.10.96 
_x000D_10340::Bon app'::29.10.96 
_x000D_10341::Simons bistro::29.10.96 
_x000D_10342::Frankenversand::30.10.96 
_x000D_10343::Lehmanns Marktstand::31.10.96 
_x000D_10344::White Clover Markets::01.11.96 
_x000D_10345::QUICK-Stop::04.11.96 
_x000D_10346::Rattlesnake Canyon Grocery::05.11.96 
_x000D_10347::Familia Arquibaldo::06.11.96 
_x000D_10348::Die Wandernde Kuh::07.11.96 
_x000D_10349::Split Rail Beer &amp; Ale::08.11.96 
_x000D_10350::La maison d'Asie::11.11.96 
_x000D_10351::Ernst Handel::11.11.96 
_x000D_10352::Furia Bacalhau e Frutos do Mar::12.11.96 
_x000D_10353::Piccolo und mehr::13.11.96 
_x000D_10354::Pericles Comidas clásicas::14.11.96 
_x000D_10355::Around the Horn::15.11.96 
_x000D_10356::Die Wandernde Kuh::18.11.96 
_x000D_10357::LILA-Supermercado::19.11.96 
_x000D_10358::La maison d'Asie::20.11.96 
_x000D_10359::Seven Seas Imports::21.11.96 
_x000D_10360::Blondel père et fils::22.11.96 
_x000D_10361::QUICK-Stop::22.11.96 
_x000D_10362::Bon app'::25.11.96 
_x000D_10363::Drachenblut Delikatessend::26.11.96 
_x000D_10364::Eastern Connection::26.11.96 
_x000D_10365::Antonio Moreno Taquería::27.11.96 
_x000D_10366::Galería del gastrónomo::28.11.96 
_x000D_10367::Vaffeljernet::28.11.96 
_x000D_10368::Ernst Handel::29.11.96 
_x000D_10369::Split Rail Beer &amp; Ale::02.12.96 
_x000D_10370::Chop-suey Chinese::03.12.96 
_x000D_10371::La maison d'Asie::03.12.96 
_x000D_10372::Queen Cozinha::04.12.96 
_x000D_10373::Hungry Owl All-Night Grocers::05.12.96 
_x000D_10374::Wolski::05.12.96 
_x000D_10375::Hungry Coyote Import Store::06.12.96 
_x000D_10376::Mère Paillarde::09.12.96 
_x000D_10377::Seven Seas Imports::09.12.96 
_x000D_10378::Folk och fä HB::10.12.96 
_x000D_10379::Que Delícia::11.12.96 
_x000D_10380::Hungry Owl All-Night Grocers::12.12.96 
_x000D_10381::LILA-Supermercado::12.12.96 
_x000D_10382::Ernst Handel::13.12.96 
_x000D_10383::Around the Horn::16.12.96 
_x000D_10384::Berglunds snabbköp::16.12.96 
_x000D_10385::Split Rail Beer &amp; Ale::17.12.96 
_x000D_10386::Familia Arquibaldo::18.12.96 
_x000D_10387::Santé Gourmet::18.12.96 
_x000D_10388::Seven Seas Imports::19.12.96 
_x000D_10389::Bottom-Dollar Marketse::20.12.96 
_x000D_10390::Ernst Handel::23.12.96 
_x000D_10391::Drachenblut Delikatessend::23.12.96 
_x000D_10392::Piccolo und mehr::24.12.96 
_x000D_10393::Save-a-lot Markets::25.12.96 
_x000D_10394::Hungry Coyote Import Store::25.12.96 
_x000D_10395::HILARIÓN-Abastos::26.12.96 
_x000D_10396::Frankenversand::27.12.96 
_x000D_10397::Princesa Isabel Vinhoss::27.12.96 
_x000D_10398::Save-a-lot Markets::30.12.96 
_x000D_10399::Vaffeljernet::31.12.96 
_x000D_10400::Eastern Connection::01.01.97 
_x000D_10401::Rattlesnake Canyon Grocery::01.01.97 
_x000D_10402::Ernst Handel::02.01.97 
_x000D_10403::Ernst Handel::03.01.97 
_x000D_10404::Magazzini Alimentari Riuniti::03.01.97 
_x000D_10405::LINO-Delicateses::06.01.97 
_x000D_10406::Queen Cozinha::07.01.97 
_x000D_10407::Ottilies Käseladen::07.01.97 
_x000D_10408::Folies gourmandes::08.01.97 
_x000D_10409::Océano Atlántico Ltda.::09.01.97 
_x000D_10410::Bottom-Dollar Marketse::10.01.97 
_x000D_10411::Bottom-Dollar Marketse::10.01.97 
_x000D_10412::Wartian Herkku::13.01.97 
_x000D_10413::La maison d'Asie::14.01.97 
_x000D_10414::Familia Arquibaldo::14.01.97 
_x000D_10415::Hungry Coyote Import Store::15.01.97 
_x000D_10416::Wartian Herkku::16.01.97 
_x000D_10417::Simons bistro::16.01.97 
_x000D_10418::QUICK-Stop::17.01.97 
_x000D_10419::Richter Supermarkt::20.01.97 
_x000D_10420::Wellington Importadora::21.01.97 
_x000D_10421::Que Delícia::21.01.97 
_x000D_10422::Franchi S.p.A.::22.01.97 
_x000D_10423::Gourmet Lanchonetes::23.01.97 
_x000D_10424::Mère Paillarde::23.01.97 
_x000D_10425::La maison d'Asie::24.01.97 
_x000D_10426::Galería del gastrónomo::27.01.97 
_x000D_10427::Piccolo und mehr::27.01.97 
_x000D_10428::Reggiani Caseifici::28.01.97 
_x000D_10429::Hungry Owl All-Night Grocers::29.01.97 
_x000D_10430::Ernst Handel::30.01.97 
_x000D_10431::Bottom-Dollar Marketse::30.01.97 
_x000D_10432::Split Rail Beer &amp; Ale::31.01.97 
_x000D_10433::Princesa Isabel Vinhoss::03.02.97 
_x000D_10434::Folk och fä HB::03.02.97 
_x000D_10435::Consolidated Holdings::04.02.97 
_x000D_10436::Blondel père et fils::05.02.97 
_x000D_10437::Wartian Herkku::05.02.97 
_x000D_10438::Toms Spezialitäten::06.02.97 
_x000D_10439::Mère Paillarde::07.02.97 
_x000D_10440::Save-a-lot Markets::10.02.97 
_x000D_10441::Old World Delicatessen::10.02.97 
_x000D_10442::Ernst Handel::11.02.97 
_x000D_10443::Reggiani Caseifici::12.02.97</v>
      </c>
      <c r="C21" s="19" t="str">
        <f t="shared" si="1"/>
        <v>_ t1
_x000D_R * t1
_x000D__ t2
_x000D_R * t2
_x000D_J NATURAL
_x000D_P t1.OrderID::t2.CustomerName::t1.OrderDate
_x000D_R -</v>
      </c>
      <c r="D21" s="23" t="str">
        <f t="shared" si="2"/>
        <v xml:space="preserve">SELECT @t1.OrderID ,, @t2.CustomerName ,, @t1.OrderDate FROM @t1 NATURAL JOIN @t2 </v>
      </c>
    </row>
    <row r="22" spans="1:7" ht="203" customHeight="1">
      <c r="A22" s="19" t="s">
        <v>730</v>
      </c>
      <c r="B22" s="19" t="str">
        <f>relSql(A22, Customers, Orders)</f>
        <v>p::ok 
_x000D_Ana Trujillo Emparedados y helados::10308 
_x000D_Antonio Moreno Taquería::10365 
_x000D_Around the Horn::10355 
_x000D_Around the Horn::10383 
_x000D_B's Beverages::10289 
_x000D_Berglunds snabbköp::10278 
_x000D_Berglunds snabbköp::10280 
_x000D_Berglunds snabbköp::10384 
_x000D_Blondel père et fils::10265 
_x000D_Blondel père et fils::10297 
_x000D_Blondel père et fils::10360 
_x000D_Blondel père et fils::10436 
_x000D_Bon app'::10331 
_x000D_Bon app'::10340 
_x000D_Bon app'::10362 
_x000D_Bottom-Dollar Marketse::10389 
_x000D_Bottom-Dollar Marketse::10410 
_x000D_Bottom-Dollar Marketse::10411 
_x000D_Bottom-Dollar Marketse::10431 
_x000D_Bólido Comidas preparadas::10326 
_x000D_Centro comercial Moctezuma::10259 
_x000D_Chop-suey Chinese::10254 
_x000D_Chop-suey Chinese::10370 
_x000D_Comércio Mineiro::10290 
_x000D_Consolidated Holdings::10435 
_x000D_Die Wandernde Kuh::10301 
_x000D_Die Wandernde Kuh::10312 
_x000D_Die Wandernde Kuh::10348 
_x000D_Die Wandernde Kuh::10356 
_x000D_Drachenblut Delikatessend::10363 
_x000D_Drachenblut Delikatessend::10391 
_x000D_Du monde entier::10311 
_x000D_Eastern Connection::10364 
_x000D_Eastern Connection::10400 
_x000D_Ernst Handel::10258 
_x000D_Ernst Handel::10263 
_x000D_Ernst Handel::10351 
_x000D_Ernst Handel::10368 
_x000D_Ernst Handel::10382 
_x000D_Ernst Handel::10390 
_x000D_Ernst Handel::10402 
_x000D_Ernst Handel::10403 
_x000D_Ernst Handel::10430 
_x000D_Ernst Handel::10442 
_x000D_Familia Arquibaldo::10347 
_x000D_Familia Arquibaldo::10386 
_x000D_Familia Arquibaldo::10414 
_x000D_Folies gourmandes::10408 
_x000D_Folk och fä HB::10264 
_x000D_Folk och fä HB::10327 
_x000D_Folk och fä HB::10378 
_x000D_Folk och fä HB::10434 
_x000D_Franchi S.p.A.::10422 
_x000D_Frankenversand::10267 
_x000D_Frankenversand::10337 
_x000D_Frankenversand::10342 
_x000D_Frankenversand::10396 
_x000D_Furia Bacalhau e Frutos do Mar::10328 
_x000D_Furia Bacalhau e Frutos do Mar::10352 
_x000D_GROSELLA-Restaurante::10268 
_x000D_Galería del gastrónomo::10366 
_x000D_Galería del gastrónomo::10426 
_x000D_Godos Cocina Típica::10303 
_x000D_Gourmet Lanchonetes::10423 
_x000D_HILARIÓN-Abastos::10257 
_x000D_HILARIÓN-Abastos::10395 
_x000D_Hanari Carnes::10250 
_x000D_Hanari Carnes::10253 
_x000D_Hungry Coyote Import Store::10375 
_x000D_Hungry Coyote Import Store::10394 
_x000D_Hungry Coyote Import Store::10415 
_x000D_Hungry Owl All-Night Grocers::10298 
_x000D_Hungry Owl All-Night Grocers::10309 
_x000D_Hungry Owl All-Night Grocers::10335 
_x000D_Hungry Owl All-Night Grocers::10373 
_x000D_Hungry Owl All-Night Grocers::10380 
_x000D_Hungry Owl All-Night Grocers::10429 
_x000D_Island Trading::10315 
_x000D_Island Trading::10318 
_x000D_Island Trading::10321 
_x000D_Königlich Essen::10323 
_x000D_Königlich Essen::10325 
_x000D_LILA-Supermercado::10283 
_x000D_LILA-Supermercado::10296 
_x000D_LILA-Supermercado::10330 
_x000D_LILA-Supermercado::10357 
_x000D_LILA-Supermercado::10381 
_x000D_LINO-Delicateses::10405 
_x000D_La maison d'Asie::10350 
_x000D_La maison d'Asie::10358 
_x000D_La maison d'Asie::10371 
_x000D_La maison d'Asie::10413 
_x000D_La maison d'Asie::10425 
_x000D_Lehmanns Marktstand::10279 
_x000D_Lehmanns Marktstand::10284 
_x000D_Lehmanns Marktstand::10343 
_x000D_Lonesome Pine Restaurant::10307 
_x000D_Lonesome Pine Restaurant::10317 
_x000D_Magazzini Alimentari Riuniti::10275 
_x000D_Magazzini Alimentari Riuniti::10300 
_x000D_Magazzini Alimentari Riuniti::10404 
_x000D_Morgenstern Gesundkost::10277 
_x000D_Mère Paillarde::10332 
_x000D_Mère Paillarde::10339 
_x000D_Mère Paillarde::10376 
_x000D_Mère Paillarde::10424 
_x000D_Mère Paillarde::10439 
_x000D_Océano Atlántico Ltda.::10409 
_x000D_Old World Delicatessen::10260 
_x000D_Old World Delicatessen::10305 
_x000D_Old World Delicatessen::10338 
_x000D_Old World Delicatessen::10441 
_x000D_Ottilies Käseladen::10407 
_x000D_Pericles Comidas clásicas::10322 
_x000D_Pericles Comidas clásicas::10354 
_x000D_Piccolo und mehr::10353 
_x000D_Piccolo und mehr::10392 
_x000D_Piccolo und mehr::10427 
_x000D_Princesa Isabel Vinhoss::10336 
_x000D_Princesa Isabel Vinhoss::10397 
_x000D_Princesa Isabel Vinhoss::10433 
_x000D_QUICK-Stop::10273 
_x000D_QUICK-Stop::10285 
_x000D_QUICK-Stop::10286 
_x000D_QUICK-Stop::10313 
_x000D_QUICK-Stop::10345 
_x000D_QUICK-Stop::10361 
_x000D_QUICK-Stop::10418 
_x000D_Que Delícia::10261 
_x000D_Que Delícia::10291 
_x000D_Que Delícia::10379 
_x000D_Que Delícia::10421 
_x000D_Queen Cozinha::10372 
_x000D_Queen Cozinha::10406 
_x000D_Rattlesnake Canyon Grocery::10262 
_x000D_Rattlesnake Canyon Grocery::10272 
_x000D_Rattlesnake Canyon Grocery::10294 
_x000D_Rattlesnake Canyon Grocery::10314 
_x000D_Rattlesnake Canyon Grocery::10316 
_x000D_Rattlesnake Canyon Grocery::10346 
_x000D_Rattlesnake Canyon Grocery::10401 
_x000D_Reggiani Caseifici::10288 
_x000D_Reggiani Caseifici::10428 
_x000D_Reggiani Caseifici::10443 
_x000D_Ricardo Adocicados::10287 
_x000D_Ricardo Adocicados::10299 
_x000D_Richter Supermarkt::10255 
_x000D_Richter Supermarkt::10419 
_x000D_Romero y tomillo::10281 
_x000D_Romero y tomillo::10282 
_x000D_Romero y tomillo::10306 
_x000D_Santé Gourmet::10387 
_x000D_Save-a-lot Markets::10324 
_x000D_Save-a-lot Markets::10393 
_x000D_Save-a-lot Markets::10398 
_x000D_Save-a-lot Markets::10440 
_x000D_Seven Seas Imports::10359 
_x000D_Seven Seas Imports::10377 
_x000D_Seven Seas Imports::10388 
_x000D_Simons bistro::10341 
_x000D_Simons bistro::10417 
_x000D_Split Rail Beer &amp; Ale::10271 
_x000D_Split Rail Beer &amp; Ale::10329 
_x000D_Split Rail Beer &amp; Ale::10349 
_x000D_Split Rail Beer &amp; Ale::10369 
_x000D_Split Rail Beer &amp; Ale::10385 
_x000D_Split Rail Beer &amp; Ale::10432 
_x000D_Suprêmes délices::10252 
_x000D_Suprêmes délices::10302 
_x000D_The Big Cheese::10310 
_x000D_Toms Spezialitäten::10438 
_x000D_Tortuga Restaurante::10276 
_x000D_Tortuga Restaurante::10293 
_x000D_Tortuga Restaurante::10304 
_x000D_Tortuga Restaurante::10319 
_x000D_Tradição Hipermercados::10249 
_x000D_Tradição Hipermercados::10292 
_x000D_Vaffeljernet::10367 
_x000D_Vaffeljernet::10399 
_x000D_Victuailles en stock::10251 
_x000D_Victuailles en stock::10334 
_x000D_Vins et alcools Chevalier::10274 
_x000D_Vins et alcools Chevalier::10295 
_x000D_Wartian Herkku::10266 
_x000D_Wartian Herkku::10270 
_x000D_Wartian Herkku::10320 
_x000D_Wartian Herkku::10333 
_x000D_Wartian Herkku::10412 
_x000D_Wartian Herkku::10416 
_x000D_Wartian Herkku::10437 
_x000D_Wellington Importadora::10256 
_x000D_Wellington Importadora::10420 
_x000D_White Clover Markets::10269 
_x000D_White Clover Markets::10344 
_x000D_Wilman Kala::10248 
_x000D_Wolski::10374</v>
      </c>
      <c r="C22" s="19" t="str">
        <f t="shared" si="1"/>
        <v>_ t1
_x000D_R * t1
_x000D__ t2
_x000D_R * t2
_x000D_J ?	@t1.CustomerID	@t2.CustomerID	!=
_x000D_E p ?	@t1.CustomerName
_x000D_E ok ?	@t2.OrderID
_x000D_P p::ok
_x000D_O p ASC
_x000D_R -</v>
      </c>
      <c r="D22" s="23" t="str">
        <f t="shared" si="2"/>
        <v xml:space="preserve">SELECT @t1.CustomerName AS @p ,, @t2.OrderID AS @ok FROM @t1 JOIN @t2 ON @t1.CustomerID != @t2.CustomerID ORDER BY @p </v>
      </c>
    </row>
    <row r="23" spans="1:7" ht="167" customHeight="1">
      <c r="A23" s="19" t="s">
        <v>708</v>
      </c>
      <c r="B23" s="19" t="str">
        <f>relSql(A23,Orders,Employees)</f>
        <v>OrderID::LastName::FirstName 
_x000D_::West::Adam 
_x000D_10248::Buchanan::Steven 
_x000D_10249::Suyama::Michael 
_x000D_10250::Peacock::Margaret 
_x000D_10251::Leverling::Janet 
_x000D_10252::Peacock::Margaret 
_x000D_10253::Leverling::Janet 
_x000D_10254::Buchanan::Steven 
_x000D_10255::Dodsworth::Anne 
_x000D_10256::Leverling::Janet 
_x000D_10257::Peacock::Margaret 
_x000D_10258::Davolio::Nancy 
_x000D_10259::Peacock::Margaret 
_x000D_10260::Peacock::Margaret 
_x000D_10261::Peacock::Margaret 
_x000D_10262::Callahan::Laura 
_x000D_10263::Dodsworth::Anne 
_x000D_10264::Suyama::Michael 
_x000D_10265::Fuller::Andrew 
_x000D_10266::Leverling::Janet 
_x000D_10267::Peacock::Margaret 
_x000D_10268::Callahan::Laura 
_x000D_10269::Buchanan::Steven 
_x000D_10270::Davolio::Nancy 
_x000D_10271::Suyama::Michael 
_x000D_10272::Suyama::Michael 
_x000D_10273::Leverling::Janet 
_x000D_10274::Suyama::Michael 
_x000D_10275::Davolio::Nancy 
_x000D_10276::Callahan::Laura 
_x000D_10277::Fuller::Andrew 
_x000D_10278::Callahan::Laura 
_x000D_10279::Callahan::Laura 
_x000D_10280::Fuller::Andrew 
_x000D_10281::Peacock::Margaret 
_x000D_10282::Peacock::Margaret 
_x000D_10283::Leverling::Janet 
_x000D_10284::Peacock::Margaret 
_x000D_10285::Davolio::Nancy 
_x000D_10286::Callahan::Laura 
_x000D_10287::Callahan::Laura 
_x000D_10288::Peacock::Margaret 
_x000D_10289::King::Robert 
_x000D_10290::Callahan::Laura 
_x000D_10291::Suyama::Michael 
_x000D_10292::Davolio::Nancy 
_x000D_10293::Davolio::Nancy 
_x000D_10294::Peacock::Margaret 
_x000D_10295::Fuller::Andrew 
_x000D_10296::Suyama::Michael 
_x000D_10297::Buchanan::Steven 
_x000D_10298::Suyama::Michael 
_x000D_10299::Peacock::Margaret 
_x000D_10300::Fuller::Andrew 
_x000D_10301::Callahan::Laura 
_x000D_10302::Peacock::Margaret 
_x000D_10303::King::Robert 
_x000D_10304::Davolio::Nancy 
_x000D_10305::Callahan::Laura 
_x000D_10306::Davolio::Nancy 
_x000D_10307::Fuller::Andrew 
_x000D_10308::King::Robert 
_x000D_10309::Leverling::Janet 
_x000D_10310::Callahan::Laura 
_x000D_10311::Davolio::Nancy 
_x000D_10312::Fuller::Andrew 
_x000D_10313::Fuller::Andrew 
_x000D_10314::Davolio::Nancy 
_x000D_10315::Peacock::Margaret 
_x000D_10316::Davolio::Nancy 
_x000D_10317::Suyama::Michael 
_x000D_10318::Callahan::Laura 
_x000D_10319::King::Robert 
_x000D_10320::Buchanan::Steven 
_x000D_10321::Leverling::Janet 
_x000D_10322::King::Robert 
_x000D_10323::Peacock::Margaret 
_x000D_10324::Dodsworth::Anne 
_x000D_10325::Davolio::Nancy 
_x000D_10326::Peacock::Margaret 
_x000D_10327::Fuller::Andrew 
_x000D_10328::Peacock::Margaret 
_x000D_10329::Peacock::Margaret 
_x000D_10330::Leverling::Janet 
_x000D_10331::Dodsworth::Anne 
_x000D_10332::Leverling::Janet 
_x000D_10333::Buchanan::Steven 
_x000D_10334::Callahan::Laura 
_x000D_10335::King::Robert 
_x000D_10336::King::Robert 
_x000D_10337::Peacock::Margaret 
_x000D_10338::Peacock::Margaret 
_x000D_10339::Fuller::Andrew 
_x000D_10340::Davolio::Nancy 
_x000D_10341::King::Robert 
_x000D_10342::Peacock::Margaret 
_x000D_10343::Peacock::Margaret 
_x000D_10344::Peacock::Margaret 
_x000D_10345::Fuller::Andrew 
_x000D_10346::Leverling::Janet 
_x000D_10347::Peacock::Margaret 
_x000D_10348::Peacock::Margaret 
_x000D_10349::King::Robert 
_x000D_10350::Suyama::Michael 
_x000D_10351::Davolio::Nancy 
_x000D_10352::Leverling::Janet 
_x000D_10353::King::Robert 
_x000D_10354::Callahan::Laura 
_x000D_10355::Suyama::Michael 
_x000D_10356::Suyama::Michael 
_x000D_10357::Davolio::Nancy 
_x000D_10358::Buchanan::Steven 
_x000D_10359::Buchanan::Steven 
_x000D_10360::Peacock::Margaret 
_x000D_10361::Davolio::Nancy 
_x000D_10362::Leverling::Janet 
_x000D_10363::Peacock::Margaret 
_x000D_10364::Davolio::Nancy 
_x000D_10365::Leverling::Janet 
_x000D_10366::Callahan::Laura 
_x000D_10367::King::Robert 
_x000D_10368::Fuller::Andrew 
_x000D_10369::Callahan::Laura 
_x000D_10370::Suyama::Michael 
_x000D_10371::Davolio::Nancy 
_x000D_10372::Buchanan::Steven 
_x000D_10373::Peacock::Margaret 
_x000D_10374::Davolio::Nancy 
_x000D_10375::Leverling::Janet 
_x000D_10376::Davolio::Nancy 
_x000D_10377::Davolio::Nancy 
_x000D_10378::Buchanan::Steven 
_x000D_10379::Fuller::Andrew 
_x000D_10380::Callahan::Laura 
_x000D_10381::Leverling::Janet 
_x000D_10382::Peacock::Margaret 
_x000D_10383::Callahan::Laura 
_x000D_10384::Leverling::Janet 
_x000D_10385::Davolio::Nancy 
_x000D_10386::Dodsworth::Anne 
_x000D_10387::Davolio::Nancy 
_x000D_10388::Fuller::Andrew 
_x000D_10389::Peacock::Margaret 
_x000D_10390::Suyama::Michael 
_x000D_10391::Leverling::Janet 
_x000D_10392::Fuller::Andrew 
_x000D_10393::Davolio::Nancy 
_x000D_10394::Davolio::Nancy 
_x000D_10395::Suyama::Michael 
_x000D_10396::Davolio::Nancy 
_x000D_10397::Buchanan::Steven 
_x000D_10398::Fuller::Andrew 
_x000D_10399::Callahan::Laura 
_x000D_10400::Davolio::Nancy 
_x000D_10401::Davolio::Nancy 
_x000D_10402::Callahan::Laura 
_x000D_10403::Peacock::Margaret 
_x000D_10404::Fuller::Andrew 
_x000D_10405::Davolio::Nancy 
_x000D_10406::King::Robert 
_x000D_10407::Fuller::Andrew 
_x000D_10408::Callahan::Laura 
_x000D_10409::Leverling::Janet 
_x000D_10410::Leverling::Janet 
_x000D_10411::Dodsworth::Anne 
_x000D_10412::Callahan::Laura 
_x000D_10413::Leverling::Janet 
_x000D_10414::Fuller::Andrew 
_x000D_10415::Leverling::Janet 
_x000D_10416::Callahan::Laura 
_x000D_10417::Peacock::Margaret 
_x000D_10418::Peacock::Margaret 
_x000D_10419::Peacock::Margaret 
_x000D_10420::Leverling::Janet 
_x000D_10421::Callahan::Laura 
_x000D_10422::Fuller::Andrew 
_x000D_10423::Suyama::Michael 
_x000D_10424::King::Robert 
_x000D_10425::Suyama::Michael 
_x000D_10426::Peacock::Margaret 
_x000D_10427::Peacock::Margaret 
_x000D_10428::King::Robert 
_x000D_10429::Leverling::Janet 
_x000D_10430::Peacock::Margaret 
_x000D_10431::Peacock::Margaret 
_x000D_10432::Leverling::Janet 
_x000D_10433::Leverling::Janet 
_x000D_10434::Leverling::Janet 
_x000D_10435::Callahan::Laura 
_x000D_10436::Leverling::Janet 
_x000D_10437::Callahan::Laura 
_x000D_10438::Leverling::Janet 
_x000D_10439::Suyama::Michael 
_x000D_10440::Peacock::Margaret 
_x000D_10441::Leverling::Janet 
_x000D_10442::Leverling::Janet 
_x000D_10443::Callahan::Laura</v>
      </c>
      <c r="C23" s="19" t="str">
        <f t="shared" si="1"/>
        <v>_ t1
_x000D_R * t1
_x000D__ t2
_x000D_R * t2
_x000D_J RIGHT ?	@t1.EmployeeID	@t2.EmployeeID	!=
_x000D_P t1.OrderID::t2.LastName::t2.FirstName
_x000D_O t1.OrderID ASC
_x000D_R -</v>
      </c>
      <c r="D23" s="23" t="str">
        <f t="shared" si="2"/>
        <v xml:space="preserve">SELECT @t1.OrderID ,, @t2.LastName ,, @t2.FirstName FROM @t1 RIGHT JOIN @t2 ON @t1.EmployeeID != @t2.EmployeeID ORDER BY @t1.OrderID </v>
      </c>
    </row>
    <row r="24" spans="1:7" ht="409.6">
      <c r="A24" s="19" t="s">
        <v>709</v>
      </c>
      <c r="B24" s="19" t="str">
        <f>relSql(A24,Customers,Orders)</f>
        <v>CustomerName::OrderID 
_x000D_Alfreds Futterkiste:: 
_x000D_Ana Trujillo Emparedados y helados::10308 
_x000D_Antonio Moreno Taquería::10365 
_x000D_Around the Horn::10355 
_x000D_Around the Horn::10383 
_x000D_B's Beverages::10289 
_x000D_Berglunds snabbköp::10278 
_x000D_Berglunds snabbköp::10280 
_x000D_Berglunds snabbköp::10384 
_x000D_Blauer See Delikatessen:: 
_x000D_Blondel père et fils::10265 
_x000D_Blondel père et fils::10297 
_x000D_Blondel père et fils::10360 
_x000D_Blondel père et fils::10436 
_x000D_Bon app'::10331 
_x000D_Bon app'::10340 
_x000D_Bon app'::10362 
_x000D_Bottom-Dollar Marketse::10389 
_x000D_Bottom-Dollar Marketse::10410 
_x000D_Bottom-Dollar Marketse::10411 
_x000D_Bottom-Dollar Marketse::10431 
_x000D_Bólido Comidas preparadas::10326 
_x000D_Cactus Comidas para llevar:: 
_x000D_Centro comercial Moctezuma::10259 
_x000D_Chop-suey Chinese::10254 
_x000D_Chop-suey Chinese::10370 
_x000D_Comércio Mineiro::10290 
_x000D_Consolidated Holdings::10435 
_x000D_Die Wandernde Kuh::10301 
_x000D_Die Wandernde Kuh::10312 
_x000D_Die Wandernde Kuh::10348 
_x000D_Die Wandernde Kuh::10356 
_x000D_Drachenblut Delikatessend::10363 
_x000D_Drachenblut Delikatessend::10391 
_x000D_Du monde entier::10311 
_x000D_Eastern Connection::10364 
_x000D_Eastern Connection::10400 
_x000D_Ernst Handel::10258 
_x000D_Ernst Handel::10263 
_x000D_Ernst Handel::10351 
_x000D_Ernst Handel::10368 
_x000D_Ernst Handel::10382 
_x000D_Ernst Handel::10390 
_x000D_Ernst Handel::10402 
_x000D_Ernst Handel::10403 
_x000D_Ernst Handel::10430 
_x000D_Ernst Handel::10442 
_x000D_FISSA Fabrica Inter. Salchichas S.A.:: 
_x000D_Familia Arquibaldo::10347 
_x000D_Familia Arquibaldo::10386 
_x000D_Familia Arquibaldo::10414 
_x000D_Folies gourmandes::10408 
_x000D_Folk och fä HB::10264 
_x000D_Folk och fä HB::10327 
_x000D_Folk och fä HB::10378 
_x000D_Folk och fä HB::10434 
_x000D_France restauration:: 
_x000D_Franchi S.p.A.::10422 
_x000D_Frankenversand::10267 
_x000D_Frankenversand::10337 
_x000D_Frankenversand::10342 
_x000D_Frankenversand::10396 
_x000D_Furia Bacalhau e Frutos do Mar::10328 
_x000D_Furia Bacalhau e Frutos do Mar::10352 
_x000D_GROSELLA-Restaurante::10268 
_x000D_Galería del gastrónomo::10366 
_x000D_Galería del gastrónomo::10426 
_x000D_Godos Cocina Típica::10303 
_x000D_Gourmet Lanchonetes::10423 
_x000D_Great Lakes Food Market:: 
_x000D_HILARIÓN-Abastos::10257 
_x000D_HILARIÓN-Abastos::10395 
_x000D_Hanari Carnes::10250 
_x000D_Hanari Carnes::10253 
_x000D_Hungry Coyote Import Store::10375 
_x000D_Hungry Coyote Import Store::10394 
_x000D_Hungry Coyote Import Store::10415 
_x000D_Hungry Owl All-Night Grocers::10298 
_x000D_Hungry Owl All-Night Grocers::10309 
_x000D_Hungry Owl All-Night Grocers::10335 
_x000D_Hungry Owl All-Night Grocers::10373 
_x000D_Hungry Owl All-Night Grocers::10380 
_x000D_Hungry Owl All-Night Grocers::10429 
_x000D_Island Trading::10315 
_x000D_Island Trading::10318 
_x000D_Island Trading::10321 
_x000D_Königlich Essen::10323 
_x000D_Königlich Essen::10325 
_x000D_LILA-Supermercado::10283 
_x000D_LILA-Supermercado::10296 
_x000D_LILA-Supermercado::10330 
_x000D_LILA-Supermercado::10357 
_x000D_LILA-Supermercado::10381 
_x000D_LINO-Delicateses::10405 
_x000D_La corne d'abondance:: 
_x000D_La maison d'Asie::10350 
_x000D_La maison d'Asie::10358 
_x000D_La maison d'Asie::10371 
_x000D_La maison d'Asie::10413 
_x000D_La maison d'Asie::10425 
_x000D_Laughing Bacchus Wine Cellars:: 
_x000D_Lazy K Kountry Store:: 
_x000D_Lehmanns Marktstand::10279 
_x000D_Lehmanns Marktstand::10284 
_x000D_Lehmanns Marktstand::10343 
_x000D_Let's Stop N Shop:: 
_x000D_Lonesome Pine Restaurant::10307 
_x000D_Lonesome Pine Restaurant::10317 
_x000D_Magazzini Alimentari Riuniti::10275 
_x000D_Magazzini Alimentari Riuniti::10300 
_x000D_Magazzini Alimentari Riuniti::10404 
_x000D_Maison Dewey:: 
_x000D_Morgenstern Gesundkost::10277 
_x000D_Mère Paillarde::10332 
_x000D_Mère Paillarde::10339 
_x000D_Mère Paillarde::10376 
_x000D_Mère Paillarde::10424 
_x000D_Mère Paillarde::10439 
_x000D_North/South:: 
_x000D_Océano Atlántico Ltda.::10409 
_x000D_Old World Delicatessen::10260 
_x000D_Old World Delicatessen::10305 
_x000D_Old World Delicatessen::10338 
_x000D_Old World Delicatessen::10441 
_x000D_Ottilies Käseladen::10407 
_x000D_Paris spécialités:: 
_x000D_Pericles Comidas clásicas::10322 
_x000D_Pericles Comidas clásicas::10354 
_x000D_Piccolo und mehr::10353 
_x000D_Piccolo und mehr::10392 
_x000D_Piccolo und mehr::10427 
_x000D_Princesa Isabel Vinhoss::10336 
_x000D_Princesa Isabel Vinhoss::10397 
_x000D_Princesa Isabel Vinhoss::10433 
_x000D_QUICK-Stop::10273 
_x000D_QUICK-Stop::10285 
_x000D_QUICK-Stop::10286 
_x000D_QUICK-Stop::10313 
_x000D_QUICK-Stop::10345 
_x000D_QUICK-Stop::10361 
_x000D_QUICK-Stop::10418 
_x000D_Que Delícia::10261 
_x000D_Que Delícia::10291 
_x000D_Que Delícia::10379 
_x000D_Que Delícia::10421 
_x000D_Queen Cozinha::10372 
_x000D_Queen Cozinha::10406 
_x000D_Rancho grande:: 
_x000D_Rattlesnake Canyon Grocery::10262 
_x000D_Rattlesnake Canyon Grocery::10272 
_x000D_Rattlesnake Canyon Grocery::10294 
_x000D_Rattlesnake Canyon Grocery::10314 
_x000D_Rattlesnake Canyon Grocery::10316 
_x000D_Rattlesnake Canyon Grocery::10346 
_x000D_Rattlesnake Canyon Grocery::10401 
_x000D_Reggiani Caseifici::10288 
_x000D_Reggiani Caseifici::10428 
_x000D_Reggiani Caseifici::10443 
_x000D_Ricardo Adocicados::10287 
_x000D_Ricardo Adocicados::10299 
_x000D_Richter Supermarkt::10255 
_x000D_Richter Supermarkt::10419 
_x000D_Romero y tomillo::10281 
_x000D_Romero y tomillo::10282 
_x000D_Romero y tomillo::10306 
_x000D_Santé Gourmet::10387 
_x000D_Save-a-lot Markets::10324 
_x000D_Save-a-lot Markets::10393 
_x000D_Save-a-lot Markets::10398 
_x000D_Save-a-lot Markets::10440 
_x000D_Seven Seas Imports::10359 
_x000D_Seven Seas Imports::10377 
_x000D_Seven Seas Imports::10388 
_x000D_Simons bistro::10341 
_x000D_Simons bistro::10417 
_x000D_Split Rail Beer &amp; Ale::10271 
_x000D_Split Rail Beer &amp; Ale::10329 
_x000D_Split Rail Beer &amp; Ale::10349 
_x000D_Split Rail Beer &amp; Ale::10369 
_x000D_Split Rail Beer &amp; Ale::10385 
_x000D_Split Rail Beer &amp; Ale::10432 
_x000D_Spécialités du monde:: 
_x000D_Suprêmes délices::10252 
_x000D_Suprêmes délices::10302 
_x000D_The Big Cheese::10310 
_x000D_The Cracker Box:: 
_x000D_Toms Spezialitäten::10438 
_x000D_Tortuga Restaurante::10276 
_x000D_Tortuga Restaurante::10293 
_x000D_Tortuga Restaurante::10304 
_x000D_Tortuga Restaurante::10319 
_x000D_Tradição Hipermercados::10249 
_x000D_Tradição Hipermercados::10292 
_x000D_Trail's Head Gourmet Provisioners:: 
_x000D_Vaffeljernet::10367 
_x000D_Vaffeljernet::10399 
_x000D_Victuailles en stock::10251 
_x000D_Victuailles en stock::10334 
_x000D_Vins et alcools Chevalier::10274 
_x000D_Vins et alcools Chevalier::10295 
_x000D_Wartian Herkku::10266 
_x000D_Wartian Herkku::10270 
_x000D_Wartian Herkku::10320 
_x000D_Wartian Herkku::10333 
_x000D_Wartian Herkku::10412 
_x000D_Wartian Herkku::10416 
_x000D_Wartian Herkku::10437 
_x000D_Wellington Importadora::10256 
_x000D_Wellington Importadora::10420 
_x000D_White Clover Markets::10269 
_x000D_White Clover Markets::10344 
_x000D_Wilman Kala::10248 
_x000D_Wolski::10374</v>
      </c>
      <c r="C24" s="19" t="str">
        <f t="shared" si="1"/>
        <v>_ t1
_x000D_R * t1
_x000D__ t2
_x000D_R * t2
_x000D_J OUTER ?	@t1.CustomerID	@t2.CustomerID	!=
_x000D_P t1.CustomerName::t2.OrderID
_x000D_O t1.CustomerName ASC
_x000D_R -</v>
      </c>
      <c r="D24" s="23" t="str">
        <f t="shared" si="2"/>
        <v xml:space="preserve">SELECT @t1.CustomerName ,, @t2.OrderID FROM @t1 OUTER JOIN @t2 ON @t1.CustomerID != @t2.CustomerID ORDER BY @t1.CustomerName </v>
      </c>
    </row>
    <row r="25" spans="1:7" ht="409.6">
      <c r="A25" s="19" t="s">
        <v>777</v>
      </c>
      <c r="B25" s="19" t="str">
        <f>relSql(A25,Customers,Customers)</f>
        <v>CustomerName1::CustomerName2::City 
_x000D_Drachenblut Delikatessend::Drachenblut Delikatessend::Aachen 
_x000D_Rattlesnake Canyon Grocery::Rattlesnake Canyon Grocery::Albuquerque 
_x000D_Old World Delicatessen::Old World Delicatessen::Anchorage 
_x000D_Galería del gastrónomo::Galería del gastrónomo::Barcelona 
_x000D_LILA-Supermercado::LILA-Supermercado::Barquisimeto 
_x000D_Magazzini Alimentari Riuniti::Magazzini Alimentari Riuniti::Bergamo 
_x000D_Alfreds Futterkiste::Alfreds Futterkiste::Berlin 
_x000D_Chop-suey Chinese::Chop-suey Chinese::Bern 
_x000D_Save-a-lot Markets::Save-a-lot Markets::Boise 
_x000D_Königlich Essen::Königlich Essen::Brandenburg 
_x000D_Maison Dewey::Maison Dewey::Bruxelles 
_x000D_Folk och fä HB::Folk och fä HB::Bräcke 
_x000D_Cactus Comidas para llevar::Cactus Comidas para llevar::Buenos Aires 
_x000D_Cactus Comidas para llevar::Océano Atlántico Ltda.::Buenos Aires 
_x000D_Cactus Comidas para llevar::Rancho grande::Buenos Aires 
_x000D_Océano Atlántico Ltda.::Cactus Comidas para llevar::Buenos Aires 
_x000D_Océano Atlántico Ltda.::Océano Atlántico Ltda.::Buenos Aires 
_x000D_Océano Atlántico Ltda.::Rancho grande::Buenos Aires 
_x000D_Rancho grande::Cactus Comidas para llevar::Buenos Aires 
_x000D_Rancho grande::Océano Atlántico Ltda.::Buenos Aires 
_x000D_Rancho grande::Rancho grande::Buenos Aires 
_x000D_The Cracker Box::The Cracker Box::Butte 
_x000D_Gourmet Lanchonetes::Gourmet Lanchonetes::Campinas 
_x000D_GROSELLA-Restaurante::GROSELLA-Restaurante::Caracas 
_x000D_Suprêmes délices::Suprêmes délices::Charleroi 
_x000D_Hungry Owl All-Night Grocers::Hungry Owl All-Night Grocers::Cork 
_x000D_Island Trading::Island Trading::Cowes 
_x000D_QUICK-Stop::QUICK-Stop::Cunewalde 
_x000D_Hungry Coyote Import Store::Hungry Coyote Import Store::Elgin 
_x000D_Great Lakes Food Market::Great Lakes Food Market::Eugene 
_x000D_Lehmanns Marktstand::Lehmanns Marktstand::Frankfurt a.M. 
_x000D_Richter Supermarkt::Richter Supermarkt::Genève 
_x000D_Ernst Handel::Ernst Handel::Graz 
_x000D_Wilman Kala::Wilman Kala::Helsinki 
_x000D_LINO-Delicateses::LINO-Delicateses::I. de Margarita 
_x000D_Trail's Head Gourmet Provisioners::Trail's Head Gourmet Provisioners::Kirkland 
_x000D_Ottilies Käseladen::Ottilies Käseladen::Köln 
_x000D_Simons bistro::Simons bistro::København 
_x000D_Split Rail Beer &amp; Ale::Split Rail Beer &amp; Ale::Lander 
_x000D_Morgenstern Gesundkost::Morgenstern Gesundkost::Leipzig 
_x000D_Folies gourmandes::Folies gourmandes::Lille 
_x000D_Furia Bacalhau e Frutos do Mar::Furia Bacalhau e Frutos do Mar::Lisboa 
_x000D_Furia Bacalhau e Frutos do Mar::Princesa Isabel Vinhoss::Lisboa 
_x000D_Princesa Isabel Vinhoss::Furia Bacalhau e Frutos do Mar::Lisboa 
_x000D_Princesa Isabel Vinhoss::Princesa Isabel Vinhoss::Lisboa 
_x000D_Around the Horn::Around the Horn::London 
_x000D_Around the Horn::B's Beverages::London 
_x000D_Around the Horn::Consolidated Holdings::London 
_x000D_Around the Horn::Eastern Connection::London 
_x000D_Around the Horn::North/South::London 
_x000D_Around the Horn::Seven Seas Imports::London 
_x000D_B's Beverages::Around the Horn::London 
_x000D_B's Beverages::B's Beverages::London 
_x000D_B's Beverages::Consolidated Holdings::London 
_x000D_B's Beverages::Eastern Connection::London 
_x000D_B's Beverages::North/South::London 
_x000D_B's Beverages::Seven Seas Imports::London 
_x000D_Consolidated Holdings::Around the Horn::London 
_x000D_Consolidated Holdings::B's Beverages::London 
_x000D_Consolidated Holdings::Consolidated Holdings::London 
_x000D_Consolidated Holdings::Eastern Connection::London 
_x000D_Consolidated Holdings::North/South::London 
_x000D_Consolidated Holdings::Seven Seas Imports::London 
_x000D_Eastern Connection::Around the Horn::London 
_x000D_Eastern Connection::B's Beverages::London 
_x000D_Eastern Connection::Consolidated Holdings::London 
_x000D_Eastern Connection::Eastern Connection::London 
_x000D_Eastern Connection::North/South::London 
_x000D_Eastern Connection::Seven Seas Imports::London 
_x000D_North/South::Around the Horn::London 
_x000D_North/South::B's Beverages::London 
_x000D_North/South::Consolidated Holdings::London 
_x000D_North/South::Eastern Connection::London 
_x000D_North/South::North/South::London 
_x000D_North/South::Seven Seas Imports::London 
_x000D_Seven Seas Imports::Around the Horn::London 
_x000D_Seven Seas Imports::B's Beverages::London 
_x000D_Seven Seas Imports::Consolidated Holdings::London 
_x000D_Seven Seas Imports::Eastern Connection::London 
_x000D_Seven Seas Imports::North/South::London 
_x000D_Seven Seas Imports::Seven Seas Imports::London 
_x000D_Berglunds snabbköp::Berglunds snabbköp::Luleå 
_x000D_Victuailles en stock::Victuailles en stock::Lyon 
_x000D_Bólido Comidas preparadas::Bólido Comidas preparadas::Madrid 
_x000D_Bólido Comidas preparadas::FISSA Fabrica Inter. Salchichas S.A.::Madrid 
_x000D_Bólido Comidas preparadas::Romero y tomillo::Madrid 
_x000D_FISSA Fabrica Inter. Salchichas S.A.::Bólido Comidas preparadas::Madrid 
_x000D_FISSA Fabrica Inter. Salchichas S.A.::FISSA Fabrica Inter. Salchichas S.A.::Madrid 
_x000D_FISSA Fabrica Inter. Salchichas S.A.::Romero y tomillo::Madrid 
_x000D_Romero y tomillo::Bólido Comidas preparadas::Madrid 
_x000D_Romero y tomillo::FISSA Fabrica Inter. Salchichas S.A.::Madrid 
_x000D_Romero y tomillo::Romero y tomillo::Madrid 
_x000D_Blauer See Delikatessen::Blauer See Delikatessen::Mannheim 
_x000D_Bon app'::Bon app'::Marseille 
_x000D_Mère Paillarde::Mère Paillarde::Montréal 
_x000D_Ana Trujillo Emparedados y helados::Ana Trujillo Emparedados y helados::México D.F. 
_x000D_Ana Trujillo Emparedados y helados::Antonio Moreno Taquería::México D.F. 
_x000D_Ana Trujillo Emparedados y helados::Centro comercial Moctezuma::México D.F. 
_x000D_Ana Trujillo Emparedados y helados::Pericles Comidas clásicas::México D.F. 
_x000D_Ana Trujillo Emparedados y helados::Tortuga Restaurante::México D.F. 
_x000D_Antonio Moreno Taquería::Ana Trujillo Emparedados y helados::México D.F. 
_x000D_Antonio Moreno Taquería::Antonio Moreno Taquería::México D.F. 
_x000D_Antonio Moreno Taquería::Centro comercial Moctezuma::México D.F. 
_x000D_Antonio Moreno Taquería::Pericles Comidas clásicas::México D.F. 
_x000D_Antonio Moreno Taquería::Tortuga Restaurante::México D.F. 
_x000D_Centro comercial Moctezuma::Ana Trujillo Emparedados y helados::México D.F. 
_x000D_Centro comercial Moctezuma::Antonio Moreno Taquería::México D.F. 
_x000D_Centro comercial Moctezuma::Centro comercial Moctezuma::México D.F. 
_x000D_Centro comercial Moctezuma::Pericles Comidas clásicas::México D.F. 
_x000D_Centro comercial Moctezuma::Tortuga Restaurante::México D.F. 
_x000D_Pericles Comidas clásicas::Ana Trujillo Emparedados y helados::México D.F. 
_x000D_Pericles Comidas clásicas::Antonio Moreno Taquería::México D.F. 
_x000D_Pericles Comidas clásicas::Centro comercial Moctezuma::México D.F. 
_x000D_Pericles Comidas clásicas::Pericles Comidas clásicas::México D.F. 
_x000D_Pericles Comidas clásicas::Tortuga Restaurante::México D.F. 
_x000D_Tortuga Restaurante::Ana Trujillo Emparedados y helados::México D.F. 
_x000D_Tortuga Restaurante::Antonio Moreno Taquería::México D.F. 
_x000D_Tortuga Restaurante::Centro comercial Moctezuma::México D.F. 
_x000D_Tortuga Restaurante::Pericles Comidas clásicas::México D.F. 
_x000D_Tortuga Restaurante::Tortuga Restaurante::México D.F. 
_x000D_Frankenversand::Frankenversand::München 
_x000D_Toms Spezialitäten::Toms Spezialitäten::Münster 
_x000D_Du monde entier::Du monde entier::Nantes 
_x000D_Du monde entier::France restauration::Nantes 
_x000D_France restauration::Du monde entier::Nantes 
_x000D_France restauration::France restauration::Nantes 
_x000D_Wartian Herkku::Wartian Herkku::Oulu 
_x000D_Paris spécialités::Paris spécialités::Paris 
_x000D_Paris spécialités::Spécialités du monde::Paris 
_x000D_Spécialités du monde::Paris spécialités::Paris 
_x000D_Spécialités du monde::Spécialités du monde::Paris 
_x000D_Lonesome Pine Restaurant::Lonesome Pine Restaurant::Portland 
_x000D_Lonesome Pine Restaurant::The Big Cheese::Portland 
_x000D_The Big Cheese::Lonesome Pine Restaurant::Portland 
_x000D_The Big Cheese::The Big Cheese::Portland 
_x000D_Reggiani Caseifici::Reggiani Caseifici::Reggio Emilia 
_x000D_Vins et alcools Chevalier::Vins et alcools Chevalier::Reims 
_x000D_Wellington Importadora::Wellington Importadora::Resende 
_x000D_Hanari Carnes::Hanari Carnes::Rio de Janeiro 
_x000D_Hanari Carnes::Que Delícia::Rio de Janeiro 
_x000D_Hanari Carnes::Ricardo Adocicados::Rio de Janeiro 
_x000D_Que Delícia::Hanari Carnes::Rio de Janeiro 
_x000D_Que Delícia::Que Delícia::Rio de Janeiro 
_x000D_Que Delícia::Ricardo Adocicados::Rio de Janeiro 
_x000D_Ricardo Adocicados::Hanari Carnes::Rio de Janeiro 
_x000D_Ricardo Adocicados::Que Delícia::Rio de Janeiro 
_x000D_Ricardo Adocicados::Ricardo Adocicados::Rio de Janeiro 
_x000D_Piccolo und mehr::Piccolo und mehr::Salzburg 
_x000D_HILARIÓN-Abastos::HILARIÓN-Abastos::San Cristóbal 
_x000D_Let's Stop N Shop::Let's Stop N Shop::San Francisco 
_x000D_White Clover Markets::White Clover Markets::Seattle 
_x000D_Godos Cocina Típica::Godos Cocina Típica::Sevilla 
_x000D_Santé Gourmet::Santé Gourmet::Stavern 
_x000D_Blondel père et fils::Blondel père et fils::Strasbourg 
_x000D_Die Wandernde Kuh::Die Wandernde Kuh::Stuttgart 
_x000D_Comércio Mineiro::Comércio Mineiro::São Paulo 
_x000D_Comércio Mineiro::Familia Arquibaldo::São Paulo 
_x000D_Comércio Mineiro::Queen Cozinha::São Paulo 
_x000D_Comércio Mineiro::Tradição Hipermercados::São Paulo 
_x000D_Familia Arquibaldo::Comércio Mineiro::São Paulo 
_x000D_Familia Arquibaldo::Familia Arquibaldo::São Paulo 
_x000D_Familia Arquibaldo::Queen Cozinha::São Paulo 
_x000D_Familia Arquibaldo::Tradição Hipermercados::São Paulo 
_x000D_Queen Cozinha::Comércio Mineiro::São Paulo 
_x000D_Queen Cozinha::Familia Arquibaldo::São Paulo 
_x000D_Queen Cozinha::Queen Cozinha::São Paulo 
_x000D_Queen Cozinha::Tradição Hipermercados::São Paulo 
_x000D_Tradição Hipermercados::Comércio Mineiro::São Paulo 
_x000D_Tradição Hipermercados::Familia Arquibaldo::São Paulo 
_x000D_Tradição Hipermercados::Queen Cozinha::São Paulo 
_x000D_Tradição Hipermercados::Tradição Hipermercados::São Paulo 
_x000D_Franchi S.p.A.::Franchi S.p.A.::Torino 
_x000D_La maison d'Asie::La maison d'Asie::Toulouse 
_x000D_Bottom-Dollar Marketse::Bottom-Dollar Marketse::Tsawassen 
_x000D_Laughing Bacchus Wine Cellars::Laughing Bacchus Wine Cellars::Vancouver 
_x000D_La corne d'abondance::La corne d'abondance::Versailles 
_x000D_Wolski::Wolski::Walla 
_x000D_Lazy K Kountry Store::Lazy K Kountry Store::Walla Walla 
_x000D_Vaffeljernet::Vaffeljernet::Århus</v>
      </c>
      <c r="C25" s="19" t="str">
        <f t="shared" si="1"/>
        <v>_ t1
_x000D_R * t1
_x000D__ t2
_x000D_R * t2
_x000D_J ?	@t1.Country	@t2.Country	!=	@t1.City	@t2.City	!=	!AND
_x000D_E CustomerName1 ?	@t1.CustomerName
_x000D_E CustomerName2 ?	@t2.CustomerName
_x000D_P CustomerName1::CustomerName2::t1.City
_x000D_O t1.City ASC
_x000D_R -</v>
      </c>
      <c r="D25" s="23" t="str">
        <f t="shared" si="2"/>
        <v xml:space="preserve">SELECT @t1.CustomerName AS @CustomerName1 ,, @t2.CustomerName AS @CustomerName2 ,, @t1.City FROM @t1 JOIN @t2 ON @t1.Country != @t2.Country !AND @t1.City != @t2.City ORDER BY @t1.City </v>
      </c>
    </row>
    <row r="26" spans="1:7" ht="29.5" customHeight="1">
      <c r="A26" s="19" t="s">
        <v>710</v>
      </c>
      <c r="B26" s="19" t="str">
        <f>relSql(A26,Customers)</f>
        <v>City 
_x000D_Aachen 
_x000D_Albuquerque 
_x000D_Anchorage 
_x000D_Barcelona 
_x000D_Barquisimeto 
_x000D_Bergamo 
_x000D_Berlin 
_x000D_Bern 
_x000D_Boise 
_x000D_Brandenburg 
_x000D_Bruxelles 
_x000D_Bräcke 
_x000D_Buenos Aires 
_x000D_Butte 
_x000D_Campinas 
_x000D_Caracas 
_x000D_Charleroi 
_x000D_Cork 
_x000D_Cowes 
_x000D_Cunewalde 
_x000D_Elgin 
_x000D_Eugene 
_x000D_Frankfurt a.M. 
_x000D_Genève 
_x000D_Graz 
_x000D_Helsinki 
_x000D_I. de Margarita 
_x000D_Kirkland 
_x000D_Köln 
_x000D_København 
_x000D_Lander 
_x000D_Leipzig 
_x000D_Lille 
_x000D_Lisboa 
_x000D_London 
_x000D_Luleå 
_x000D_Lyon 
_x000D_Madrid 
_x000D_Mannheim 
_x000D_Marseille 
_x000D_Montréal 
_x000D_México D.F. 
_x000D_München 
_x000D_Münster 
_x000D_Nantes 
_x000D_Oulu 
_x000D_Paris 
_x000D_Portland 
_x000D_Reggio Emilia 
_x000D_Reims 
_x000D_Resende 
_x000D_Rio de Janeiro 
_x000D_Salzburg 
_x000D_San Cristóbal 
_x000D_San Francisco 
_x000D_Seattle 
_x000D_Sevilla 
_x000D_Stavern 
_x000D_Strasbourg 
_x000D_Stuttgart 
_x000D_São Paulo 
_x000D_Torino 
_x000D_Toulouse 
_x000D_Tsawassen 
_x000D_Vancouver 
_x000D_Versailles 
_x000D_Walla 
_x000D_Walla Walla 
_x000D_Århus</v>
      </c>
      <c r="C26" s="19" t="str">
        <f t="shared" si="1"/>
        <v>_ t1
_x000D_R * t1
_x000D_P City
_x000D_O City ASC
_x000D_R -</v>
      </c>
      <c r="D26" s="23" t="str">
        <f t="shared" si="2"/>
        <v xml:space="preserve">SELECT @City FROM @t1 ORDER BY @City </v>
      </c>
    </row>
    <row r="27" spans="1:7" ht="45" customHeight="1">
      <c r="A27" s="19" t="s">
        <v>726</v>
      </c>
      <c r="B27" s="19" t="str">
        <f>relSql(A27,Products)</f>
        <v>k 
_x000D_.0177019251054136 
_x000D_-.958671959951993 
_x000D_-.262374853703929 
_x000D_-.304810621102217 
_x000D_-.993888653923375 
_x000D_-.702386329268492 
_x000D_-.739180696649223 
_x000D_-.536572918000435 
_x000D_.584196584413286 
_x000D_-.404037645323065 
_x000D_-.335824859217142 
_x000D_.513978455987535 
_x000D_-.616040459188656 
_x000D_-.434565622071897 
_x000D_-.97845035079338 
_x000D_-.916521547915634 
_x000D_-.750987246771676 
_x000D_.412118485241757 
_x000D_-.363342479613918 
_x000D_-.0936755000911281 
_x000D_.569436035486536 
_x000D_.99841676717021 
_x000D_.920026038196791 
_x000D_-.958924274663138 
_x000D_.296368578709385 
_x000D_.986627592040485 
_x000D_-.708637871481491 
_x000D_-.782774513550654 
_x000D_.435365360372893 
_x000D_-.779466069615805 
_x000D_.932360548866189 
_x000D_-.905578362006624 
_x000D_.149877209662952 
_x000D_.359058354022168 
_x000D_.745113160479349 
_x000D_.883870423545831 
_x000D_-.727142500080853 
_x000D_.99060735569487 
_x000D_.364825822878242 
_x000D_.722881349511976 
_x000D_-.768254661323667 
_x000D_.56610763689818 
_x000D_.963795386284088 
_x000D_.979357643103917 
_x000D_-.044242678085071 
_x000D_-.897927680689291 
_x000D_.436164755247825 
_x000D_-.935837421142124 
_x000D_-.163852128064609 
_x000D_-.502557349760487 
_x000D_-.951874658346965 
_x000D_.529082686120024 
_x000D_.270905788307869 
_x000D_-.132351750097773 
_x000D_.253823362762036 
_x000D_-.831774742628598 
_x000D_.466174406187172 
_x000D_-.988031624092862 
_x000D_.912945250727628 
_x000D_.206467481937797 
_x000D_-.991778853443116 
_x000D_.762558450479603</v>
      </c>
      <c r="C27" s="19" t="str">
        <f t="shared" si="1"/>
        <v>_ t1
_x000D_R * t1
_x000D_E k ?	@Price	#2	!*	*SIN
_x000D_P k
_x000D_R -</v>
      </c>
      <c r="D27" s="23" t="str">
        <f t="shared" si="2"/>
        <v xml:space="preserve">SELECT *SIN (( @Price !* #2 )) AS @k FROM @t1 </v>
      </c>
    </row>
    <row r="28" spans="1:7" ht="40" customHeight="1">
      <c r="A28" s="20" t="s">
        <v>725</v>
      </c>
      <c r="B28" s="19" t="str">
        <f>relSql(A28,Products)</f>
        <v>c 
_x000D_4054</v>
      </c>
      <c r="C28" s="19" t="str">
        <f t="shared" si="1"/>
        <v>_ t1
_x000D_R * t1
_x000D_E c_temp ?	@ProductID	@SupplierID	!+	
_x000D_P c_temp SUM
_x000D_R c_temp_sum c
_x000D_P c
_x000D_R -</v>
      </c>
      <c r="D28" s="23" t="str">
        <f t="shared" si="2"/>
        <v xml:space="preserve">SELECT +SUM (( @ProductID !+ @SupplierID )) AS @c FROM @t1 </v>
      </c>
    </row>
    <row r="29" spans="1:7" ht="94" customHeight="1">
      <c r="A29" s="20" t="s">
        <v>724</v>
      </c>
      <c r="B29" s="19" t="str">
        <f>relSql(A29,Products)</f>
        <v>e 
_x000D_38 
_x000D_60 
_x000D_48 
_x000D_144 
_x000D_163.45 
_x000D_243 
_x000D_370 
_x000D_462 
_x000D_1339 
_x000D_546 
_x000D_400 
_x000D_714 
_x000D_266 
_x000D_605 
_x000D_367.5 
_x000D_470.35 
_x000D_1080 
_x000D_1762.5 
_x000D_329.4 
_x000D_2352 
_x000D_377 
_x000D_806 
_x000D_448 
_x000D_187 
_x000D_612 
_x000D_1266.51 
_x000D_1782.2 
_x000D_2104 
_x000D_5321.39 
_x000D_1457.27 
_x000D_742.5 
_x000D_312 
_x000D_750 
_x000D_969 
_x000D_1431 
_x000D_1836 
_x000D_14812 
_x000D_1083 
_x000D_1557.6 
_x000D_1059 
_x000D_2961 
_x000D_1372.8 
_x000D_1155 
_x000D_1340 
_x000D_862.5 
_x000D_1102.5 
_x000D_1656 
_x000D_1405.25 
_x000D_4500 
_x000D_912 
_x000D_2987.6 
_x000D_1062.55 
_x000D_2400 
_x000D_3526 
_x000D_2033.5 
_x000D_1806.25 
_x000D_5133 
_x000D_3344 
_x000D_2745 
_x000D_4759.3 
_x000D_3213 
_x000D_2907 
_x000D_1544.35 
_x000D_1292 
_x000D_1245 
_x000D_1178 
_x000D_3360 
_x000D_1232 
_x000D_2193 
_x000D_3336.8 
_x000D_2070 
_x000D_1326 
_x000D_761.25 
_x000D_1881 
_x000D_1335</v>
      </c>
      <c r="C29" s="19" t="str">
        <f t="shared" si="1"/>
        <v>_ t1
_x000D_R * t1
_x000D_E e ?	@ProductID	@SupplierID	%1	!+	@Price	@CategoryID	%1	!+	!*
_x000D_P e
_x000D_R -</v>
      </c>
      <c r="D29" s="23" t="str">
        <f t="shared" si="2"/>
        <v xml:space="preserve">SELECT (( @ProductID !+ @SupplierID )) !* (( @Price !+ @CategoryID )) AS @e FROM @t1 </v>
      </c>
    </row>
    <row r="30" spans="1:7" ht="132.5" customHeight="1">
      <c r="A30" s="35" t="s">
        <v>776</v>
      </c>
      <c r="B30" s="35" t="str">
        <f>relSql(A30,Customers)</f>
        <v>Country 
_x000D_UK 
_x000D_France 
_x000D_Germany</v>
      </c>
      <c r="C30" s="19" t="str">
        <f t="shared" si="1"/>
        <v>_ t1
_x000D_R * t1
_x000D_S ?	@Country	$"Germany"	$"France"	$"UK"	%3	!IN
_x000D_P Country
_x000D_R -</v>
      </c>
      <c r="D30" s="23" t="str">
        <f t="shared" si="2"/>
        <v xml:space="preserve">SELECT @Country FROM @t1 WHERE @Country !IN (( $"Germany" ,, $"France" ,, $"UK" )) </v>
      </c>
    </row>
    <row r="31" spans="1:7" ht="30">
      <c r="A31" s="22" t="s">
        <v>711</v>
      </c>
      <c r="B31" s="21" t="str">
        <f>relParseSql(A31)</f>
        <v>#ERROR invalid token 	((	@a	!+	@b	%1	))	!* ,,</v>
      </c>
      <c r="C31" s="19" t="str">
        <f t="shared" si="1"/>
        <v>#ERROR invalid token 	((	@a	!+	@b	%1	))	!* ,,</v>
      </c>
      <c r="D31" s="23" t="str">
        <f t="shared" si="2"/>
        <v xml:space="preserve">SELECT (( @a !+ @b )) !* ,, (( @c !+ @d )) AS @e FROM @t1 </v>
      </c>
    </row>
    <row r="32" spans="1:7" ht="30">
      <c r="A32" s="22" t="s">
        <v>712</v>
      </c>
      <c r="B32" s="21" t="str">
        <f t="shared" ref="B32:B34" si="3">relParseSql(A32)</f>
        <v>#ERROR invalid ) 	((	@a	!+	@b	%1	))	!* ))</v>
      </c>
      <c r="C32" s="19" t="str">
        <f t="shared" si="1"/>
        <v>#ERROR invalid ) 	((	@a	!+	@b	%1	))	!* ))</v>
      </c>
      <c r="D32" s="23" t="str">
        <f t="shared" si="2"/>
        <v xml:space="preserve">SELECT (( @a !+ @b )) !* )) (( @c !+ @d )) AS @e FROM @t1 </v>
      </c>
    </row>
    <row r="33" spans="1:4" ht="15">
      <c r="A33" s="22" t="s">
        <v>713</v>
      </c>
      <c r="B33" s="21" t="str">
        <f t="shared" si="3"/>
        <v>#ERROR invalid token @a @a</v>
      </c>
      <c r="C33" s="19" t="str">
        <f t="shared" si="1"/>
        <v>#ERROR invalid token @a @a</v>
      </c>
      <c r="D33" s="23" t="str">
        <f t="shared" si="2"/>
        <v xml:space="preserve">SELECT @a @a AS @B FROM @t1 </v>
      </c>
    </row>
    <row r="34" spans="1:4" ht="15">
      <c r="A34" s="22" t="s">
        <v>714</v>
      </c>
      <c r="B34" s="21" t="str">
        <f t="shared" si="3"/>
        <v>#ERROR invalid token 	@a	!+ !+</v>
      </c>
      <c r="C34" s="19" t="str">
        <f t="shared" si="1"/>
        <v>#ERROR invalid token 	@a	!+ !+</v>
      </c>
      <c r="D34" s="23" t="str">
        <f t="shared" si="2"/>
        <v xml:space="preserve">SELECT @a !+ !+ @b AS @C FROM @t1 </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022CF-CC37-1441-8BD0-F1926DE4806D}">
  <sheetPr codeName="Sheet1"/>
  <dimension ref="A1:P55"/>
  <sheetViews>
    <sheetView tabSelected="1" zoomScale="170" workbookViewId="0">
      <selection activeCell="C1" sqref="C1:I5"/>
    </sheetView>
  </sheetViews>
  <sheetFormatPr baseColWidth="10" defaultRowHeight="14"/>
  <cols>
    <col min="1" max="1" width="11.83203125" customWidth="1"/>
    <col min="10" max="10" width="10.83203125" style="72"/>
  </cols>
  <sheetData>
    <row r="1" spans="1:16">
      <c r="A1" s="71" t="s">
        <v>1196</v>
      </c>
      <c r="B1" s="72"/>
      <c r="C1" s="62" t="s">
        <v>1216</v>
      </c>
      <c r="D1" s="63"/>
      <c r="E1" s="63"/>
      <c r="F1" s="63"/>
      <c r="G1" s="63"/>
      <c r="H1" s="63"/>
      <c r="I1" s="64"/>
      <c r="K1" t="s">
        <v>1197</v>
      </c>
      <c r="L1" t="s">
        <v>1199</v>
      </c>
      <c r="P1" t="str">
        <f>relSql(C1,Employees,Orders,Customers,Products,Suppliers)</f>
        <v>OrderID::OrderDate::Customer::PostalCode::City 
10443::12.02.97::Reggiani Caseifici::42100::Reggio Emilia 
10442::11.02.97::Ernst Handel::8010::Graz 
10441::10.02.97::Old World Delicatessen::99508::Anchorage 
10440::10.02.97::Save-a-lot Markets::83720::Boise 
10439::07.02.97::Mère Paillarde::H1J 1C3::Montréal 
10438::06.02.97::Toms Spezialitäten::44087::Münster 
10437::05.02.97::Wartian Herkku::90110::Oulu 
10436::05.02.97::Blondel père et fils::67000::Strasbourg 
10435::04.02.97::Consolidated Holdings::WX1 6LT::London 
10434::03.02.97::Folk och fä HB::S-844 67::Bräcke 
10433::03.02.97::Princesa Isabel Vinhoss::1756::Lisboa 
10432::31.01.97::Split Rail Beer &amp; Ale::82520::Lander 
10431::30.01.97::Bottom-Dollar Marketse::T2F 8M4::Tsawassen 
10430::30.01.97::Ernst Handel::8010::Graz 
10429::29.01.97::Hungry Owl All-Night Grocers::::Cork 
10428::28.01.97::Reggiani Caseifici::42100::Reggio Emilia 
10427::27.01.97::Piccolo und mehr::5020::Salzburg 
10426::27.01.97::Galería del gastrónomo::8022::Barcelona 
10425::24.01.97::La maison d'Asie::31000::Toulouse 
10424::23.01.97::Mère Paillarde::H1J 1C3::Montréal 
10423::23.01.97::Gourmet Lanchonetes::04876-786::Campinas 
10422::22.01.97::Franchi S.p.A.::10100::Torino 
10421::21.01.97::Que Delícia::02389-673::Rio de Janeiro 
10420::21.01.97::Wellington Importadora::08737-363::Resende 
10419::20.01.97::Richter Supermarkt::1203::Genève 
10418::17.01.97::QUICK-Stop::1307::Cunewalde 
10417::16.01.97::Simons bistro::1734::København 
10416::16.01.97::Wartian Herkku::90110::Oulu 
10415::15.01.97::Hungry Coyote Import Store::97827::Elgin 
10414::14.01.97::Familia Arquibaldo::05442-030::São Paulo 
10413::14.01.97::La maison d'Asie::31000::Toulouse 
10412::13.01.97::Wartian Herkku::90110::Oulu 
10411::10.01.97::Bottom-Dollar Marketse::T2F 8M4::Tsawassen 
10410::10.01.97::Bottom-Dollar Marketse::T2F 8M4::Tsawassen 
10409::09.01.97::Océano Atlántico Ltda.::1010::Buenos Aires 
10408::08.01.97::Folies gourmandes::59000::Lille 
10407::07.01.97::Ottilies Käseladen::50739::Köln 
10406::07.01.97::Queen Cozinha::05487-020::São Paulo 
10405::06.01.97::LINO-Delicateses::4980::I. de Margarita 
10404::03.01.97::Magazzini Alimentari Riuniti::24100::Bergamo 
10403::03.01.97::Ernst Handel::8010::Graz 
10402::02.01.97::Ernst Handel::8010::Graz 
10401::01.01.97::Rattlesnake Canyon Grocery::87110::Albuquerque 
10400::01.01.97::Eastern Connection::WX3 6FW::London 
10399::31.12.96::Vaffeljernet::8200::Århus 
10398::30.12.96::Save-a-lot Markets::83720::Boise 
10397::27.12.96::Princesa Isabel Vinhoss::1756::Lisboa 
10396::27.12.96::Frankenversand::80805::München 
10395::26.12.96::HILARIÓN-Abastos::5022::San Cristóbal 
10394::25.12.96::Hungry Coyote Import Store::97827::Elgin 
10393::25.12.96::Save-a-lot Markets::83720::Boise 
10392::24.12.96::Piccolo und mehr::5020::Salzburg 
10391::23.12.96::Drachenblut Delikatessend::52066::Aachen 
10390::23.12.96::Ernst Handel::8010::Graz 
10389::20.12.96::Bottom-Dollar Marketse::T2F 8M4::Tsawassen 
10388::19.12.96::Seven Seas Imports::OX15 4NB::London 
10387::18.12.96::Santé Gourmet::4110::Stavern 
10386::18.12.96::Familia Arquibaldo::05442-030::São Paulo 
10385::17.12.96::Split Rail Beer &amp; Ale::82520::Lander 
10384::16.12.96::Berglunds snabbköp::S-958 22::Luleå 
10383::16.12.96::Around the Horn::WA1 1DP::London 
10382::13.12.96::Ernst Handel::8010::Graz 
10381::12.12.96::LILA-Supermercado::3508::Barquisimeto 
10380::12.12.96::Hungry Owl All-Night Grocers::::Cork 
10379::11.12.96::Que Delícia::02389-673::Rio de Janeiro 
10378::10.12.96::Folk och fä HB::S-844 67::Bräcke 
10377::09.12.96::Seven Seas Imports::OX15 4NB::London 
10376::09.12.96::Mère Paillarde::H1J 1C3::Montréal 
10375::06.12.96::Hungry Coyote Import Store::97827::Elgin 
10374::05.12.96::Wolski::01-012::Walla 
10373::05.12.96::Hungry Owl All-Night Grocers::::Cork 
10372::04.12.96::Queen Cozinha::05487-020::São Paulo 
10371::03.12.96::La maison d'Asie::31000::Toulouse 
10370::03.12.96::Chop-suey Chinese::3012::Bern 
10369::02.12.96::Split Rail Beer &amp; Ale::82520::Lander 
10368::29.11.96::Ernst Handel::8010::Graz 
10367::28.11.96::Vaffeljernet::8200::Århus 
10366::28.11.96::Galería del gastrónomo::8022::Barcelona 
10365::27.11.96::Antonio Moreno Taquería::5023::México D.F. 
10364::26.11.96::Eastern Connection::WX3 6FW::London 
10363::26.11.96::Drachenblut Delikatessend::52066::Aachen 
10362::25.11.96::Bon app'::13008::Marseille 
10361::22.11.96::QUICK-Stop::1307::Cunewalde 
10360::22.11.96::Blondel père et fils::67000::Strasbourg 
10359::21.11.96::Seven Seas Imports::OX15 4NB::London 
10358::20.11.96::La maison d'Asie::31000::Toulouse 
10357::19.11.96::LILA-Supermercado::3508::Barquisimeto 
10356::18.11.96::Die Wandernde Kuh::70563::Stuttgart 
10355::15.11.96::Around the Horn::WA1 1DP::London 
10354::14.11.96::Pericles Comidas clásicas::5033::México D.F. 
10353::13.11.96::Piccolo und mehr::5020::Salzburg 
10352::12.11.96::Furia Bacalhau e Frutos do Mar::1675::Lisboa 
10351::11.11.96::Ernst Handel::8010::Graz 
10350::11.11.96::La maison d'Asie::31000::Toulouse 
10349::08.11.96::Split Rail Beer &amp; Ale::82520::Lander 
10348::07.11.96::Die Wandernde Kuh::70563::Stuttgart 
10347::06.11.96::Familia Arquibaldo::05442-030::São Paulo 
10346::05.11.96::Rattlesnake Canyon Grocery::87110::Albuquerque 
10345::04.11.96::QUICK-Stop::1307::Cunewalde 
10344::01.11.96::White Clover Markets::98128::Seattle 
10343::31.10.96::Lehmanns Marktstand::60528::Frankfurt a.M. 
10342::30.10.96::Frankenversand::80805::München 
10341::29.10.96::Simons bistro::1734::København 
10340::29.10.96::Bon app'::13008::Marseille 
10339::28.10.96::Mère Paillarde::H1J 1C3::Montréal 
10338::25.10.96::Old World Delicatessen::99508::Anchorage 
10337::24.10.96::Frankenversand::80805::München 
10336::23.10.96::Princesa Isabel Vinhoss::1756::Lisboa 
10335::22.10.96::Hungry Owl All-Night Grocers::::Cork 
10334::21.10.96::Victuailles en stock::69004::Lyon 
10333::18.10.96::Wartian Herkku::90110::Oulu 
10332::17.10.96::Mère Paillarde::H1J 1C3::Montréal 
10331::16.10.96::Bon app'::13008::Marseille 
10330::16.10.96::LILA-Supermercado::3508::Barquisimeto 
10329::15.10.96::Split Rail Beer &amp; Ale::82520::Lander 
10328::14.10.96::Furia Bacalhau e Frutos do Mar::1675::Lisboa 
10327::11.10.96::Folk och fä HB::S-844 67::Bräcke 
10326::10.10.96::Bólido Comidas preparadas::28023::Madrid 
10325::09.10.96::Königlich Essen::14776::Brandenburg 
10324::08.10.96::Save-a-lot Markets::83720::Boise 
10323::07.10.96::Königlich Essen::14776::Brandenburg 
10322::04.10.96::Pericles Comidas clásicas::5033::México D.F. 
10321::03.10.96::Island Trading::PO31 7PJ::Cowes 
10320::03.10.96::Wartian Herkku::90110::Oulu 
10319::02.10.96::Tortuga Restaurante::5033::México D.F. 
10318::01.10.96::Island Trading::PO31 7PJ::Cowes 
10317::30.09.96::Lonesome Pine Restaurant::97219::Portland 
10316::27.09.96::Rattlesnake Canyon Grocery::87110::Albuquerque 
10315::26.09.96::Island Trading::PO31 7PJ::Cowes 
10314::25.09.96::Rattlesnake Canyon Grocery::87110::Albuquerque 
10313::24.09.96::QUICK-Stop::1307::Cunewalde 
10312::23.09.96::Die Wandernde Kuh::70563::Stuttgart 
10311::20.09.96::Du monde entier::44000::Nantes 
10310::20.09.96::The Big Cheese::97201::Portland 
10309::19.09.96::Hungry Owl All-Night Grocers::::Cork 
10308::18.09.96::Ana Trujillo Emparedados y helados::5021::México D.F. 
10307::17.09.96::Lonesome Pine Restaurant::97219::Portland 
10306::16.09.96::Romero y tomillo::28001::Madrid 
10305::13.09.96::Old World Delicatessen::99508::Anchorage 
10304::12.09.96::Tortuga Restaurante::5033::México D.F. 
10303::11.09.96::Godos Cocina Típica::41101::Sevilla 
10302::10.09.96::Suprêmes délices::B-6000::Charleroi 
10301::09.09.96::Die Wandernde Kuh::70563::Stuttgart 
10300::09.09.96::Magazzini Alimentari Riuniti::24100::Bergamo 
10299::06.09.96::Ricardo Adocicados::02389-890::Rio de Janeiro 
10298::05.09.96::Hungry Owl All-Night Grocers::::Cork 
10297::04.09.96::Blondel père et fils::67000::Strasbourg 
10296::03.09.96::LILA-Supermercado::3508::Barquisimeto 
10295::02.09.96::Vins et alcools Chevalier::51100::Reims 
10294::30.08.96::Rattlesnake Canyon Grocery::87110::Albuquerque 
10293::29.08.96::Tortuga Restaurante::5033::México D.F. 
10292::28.08.96::Tradição Hipermercados::05634-030::São Paulo 
10291::27.08.96::Que Delícia::02389-673::Rio de Janeiro 
10290::27.08.96::Comércio Mineiro::05432-043::São Paulo 
10289::26.08.96::B's Beverages::EC2 5NT::London 
10288::23.08.96::Reggiani Caseifici::42100::Reggio Emilia 
10287::22.08.96::Ricardo Adocicados::02389-890::Rio de Janeiro 
10286::21.08.96::QUICK-Stop::1307::Cunewalde 
10285::20.08.96::QUICK-Stop::1307::Cunewalde 
10284::19.08.96::Lehmanns Marktstand::60528::Frankfurt a.M. 
10283::16.08.96::LILA-Supermercado::3508::Barquisimeto 
10282::15.08.96::Romero y tomillo::28001::Madrid 
10281::14.08.96::Romero y tomillo::28001::Madrid 
10280::14.08.96::Berglunds snabbköp::S-958 22::Luleå 
10279::13.08.96::Lehmanns Marktstand::60528::Frankfurt a.M. 
10278::12.08.96::Berglunds snabbköp::S-958 22::Luleå 
10277::09.08.96::Morgenstern Gesundkost::4179::Leipzig 
10276::08.08.96::Tortuga Restaurante::5033::México D.F. 
10275::07.08.96::Magazzini Alimentari Riuniti::24100::Bergamo 
10274::06.08.96::Vins et alcools Chevalier::51100::Reims 
10273::05.08.96::QUICK-Stop::1307::Cunewalde 
10272::02.08.96::Rattlesnake Canyon Grocery::87110::Albuquerque 
10271::01.08.96::Split Rail Beer &amp; Ale::82520::Lander 
10270::01.08.96::Wartian Herkku::90110::Oulu 
10269::31.07.96::White Clover Markets::98128::Seattle 
10268::30.07.96::GROSELLA-Restaurante::1081::Caracas 
10267::29.07.96::Frankenversand::80805::München 
10266::26.07.96::Wartian Herkku::90110::Oulu 
10265::25.07.96::Blondel père et fils::67000::Strasbourg 
10264::24.07.96::Folk och fä HB::S-844 67::Bräcke 
10263::23.07.96::Ernst Handel::8010::Graz 
10262::22.07.96::Rattlesnake Canyon Grocery::87110::Albuquerque 
10261::19.07.96::Que Delícia::02389-673::Rio de Janeiro 
10260::19.07.96::Old World Delicatessen::99508::Anchorage 
10259::18.07.96::Centro comercial Moctezuma::5022::México D.F. 
10258::17.07.96::Ernst Handel::8010::Graz 
10257::16.07.96::HILARIÓN-Abastos::5022::San Cristóbal 
10256::15.07.96::Wellington Importadora::08737-363::Resende 
10255::12.07.96::Richter Supermarkt::1203::Genève 
10254::11.07.96::Chop-suey Chinese::3012::Bern 
10253::10.07.96::Hanari Carnes::05454-876::Rio de Janeiro 
10252::09.07.96::Suprêmes délices::B-6000::Charleroi 
10251::08.07.96::Victuailles en stock::69004::Lyon 
10250::08.07.96::Hanari Carnes::05454-876::Rio de Janeiro 
10249::05.07.96::Tradição Hipermercados::05634-030::São Paulo 
10248::04.07.96::Wilman Kala::21240::Helsinki</v>
      </c>
    </row>
    <row r="2" spans="1:16">
      <c r="A2" s="72"/>
      <c r="B2" s="72"/>
      <c r="C2" s="65"/>
      <c r="D2" s="66"/>
      <c r="E2" s="66"/>
      <c r="F2" s="66"/>
      <c r="G2" s="66"/>
      <c r="H2" s="66"/>
      <c r="I2" s="67"/>
      <c r="K2" t="s">
        <v>1198</v>
      </c>
      <c r="L2" t="s">
        <v>1200</v>
      </c>
    </row>
    <row r="3" spans="1:16">
      <c r="A3" s="72"/>
      <c r="B3" s="72"/>
      <c r="C3" s="65"/>
      <c r="D3" s="66"/>
      <c r="E3" s="66"/>
      <c r="F3" s="66"/>
      <c r="G3" s="66"/>
      <c r="H3" s="66"/>
      <c r="I3" s="67"/>
      <c r="K3" t="s">
        <v>1201</v>
      </c>
      <c r="L3" t="s">
        <v>1202</v>
      </c>
    </row>
    <row r="4" spans="1:16">
      <c r="A4" s="72"/>
      <c r="B4" s="72"/>
      <c r="C4" s="65"/>
      <c r="D4" s="66"/>
      <c r="E4" s="66"/>
      <c r="F4" s="66"/>
      <c r="G4" s="66"/>
      <c r="H4" s="66"/>
      <c r="I4" s="67"/>
      <c r="K4" t="s">
        <v>1203</v>
      </c>
      <c r="L4" t="s">
        <v>1204</v>
      </c>
    </row>
    <row r="5" spans="1:16">
      <c r="A5" s="72"/>
      <c r="B5" s="72"/>
      <c r="C5" s="68"/>
      <c r="D5" s="69"/>
      <c r="E5" s="69"/>
      <c r="F5" s="69"/>
      <c r="G5" s="69"/>
      <c r="H5" s="69"/>
      <c r="I5" s="70"/>
      <c r="K5" t="s">
        <v>1205</v>
      </c>
      <c r="L5" t="s">
        <v>1206</v>
      </c>
    </row>
    <row r="6" spans="1:16">
      <c r="A6" s="72"/>
      <c r="B6" s="72"/>
      <c r="C6" s="72"/>
      <c r="D6" s="72"/>
      <c r="E6" s="72"/>
      <c r="F6" s="72"/>
      <c r="G6" s="72"/>
      <c r="H6" s="72"/>
      <c r="I6" s="72"/>
    </row>
    <row r="7" spans="1:16">
      <c r="A7" s="61" t="str">
        <f t="shared" ref="A7:I22" si="0">relCell($P$1,ROW()-7,COLUMN(),0,1)</f>
        <v>OrderID</v>
      </c>
      <c r="B7" s="61" t="str">
        <f t="shared" si="0"/>
        <v>OrderDate</v>
      </c>
      <c r="C7" s="61" t="str">
        <f t="shared" si="0"/>
        <v>Customer</v>
      </c>
      <c r="D7" s="61" t="str">
        <f t="shared" si="0"/>
        <v>PostalCode</v>
      </c>
      <c r="E7" s="61" t="str">
        <f t="shared" si="0"/>
        <v>City</v>
      </c>
      <c r="F7" s="61" t="str">
        <f t="shared" si="0"/>
        <v/>
      </c>
      <c r="G7" s="61" t="str">
        <f>relCell($P$1,ROW()-7,COLUMN(),0,1)</f>
        <v/>
      </c>
      <c r="H7" s="61" t="str">
        <f t="shared" si="0"/>
        <v/>
      </c>
      <c r="I7" s="61" t="str">
        <f t="shared" si="0"/>
        <v/>
      </c>
      <c r="K7" t="s">
        <v>1207</v>
      </c>
    </row>
    <row r="8" spans="1:16">
      <c r="A8" s="45" t="str">
        <f t="shared" ref="A8:I25" si="1">relCell($P$1,ROW()-7,COLUMN(),0,1)</f>
        <v>10443</v>
      </c>
      <c r="B8" s="45" t="str">
        <f t="shared" si="0"/>
        <v>12.02.97</v>
      </c>
      <c r="C8" s="45" t="str">
        <f t="shared" si="0"/>
        <v>Reggiani Caseifici</v>
      </c>
      <c r="D8" s="45" t="str">
        <f t="shared" si="0"/>
        <v>42100</v>
      </c>
      <c r="E8" s="45" t="str">
        <f t="shared" si="0"/>
        <v>Reggio Emilia</v>
      </c>
      <c r="F8" s="45" t="str">
        <f t="shared" si="0"/>
        <v/>
      </c>
      <c r="G8" s="45" t="str">
        <f t="shared" si="1"/>
        <v/>
      </c>
      <c r="H8" s="45" t="str">
        <f t="shared" si="0"/>
        <v/>
      </c>
      <c r="I8" s="45" t="str">
        <f t="shared" si="0"/>
        <v/>
      </c>
      <c r="K8" t="s">
        <v>1208</v>
      </c>
    </row>
    <row r="9" spans="1:16">
      <c r="A9" s="45" t="str">
        <f t="shared" si="1"/>
        <v>10442</v>
      </c>
      <c r="B9" s="45" t="str">
        <f t="shared" si="0"/>
        <v>11.02.97</v>
      </c>
      <c r="C9" s="45" t="str">
        <f t="shared" si="0"/>
        <v>Ernst Handel</v>
      </c>
      <c r="D9" s="45" t="str">
        <f t="shared" si="0"/>
        <v>8010</v>
      </c>
      <c r="E9" s="45" t="str">
        <f t="shared" si="0"/>
        <v>Graz</v>
      </c>
      <c r="F9" s="45" t="str">
        <f t="shared" si="0"/>
        <v/>
      </c>
      <c r="G9" s="45" t="str">
        <f t="shared" si="1"/>
        <v/>
      </c>
      <c r="H9" s="45" t="str">
        <f t="shared" si="0"/>
        <v/>
      </c>
      <c r="I9" s="45" t="str">
        <f t="shared" si="0"/>
        <v/>
      </c>
      <c r="K9" t="s">
        <v>1209</v>
      </c>
    </row>
    <row r="10" spans="1:16">
      <c r="A10" s="45" t="str">
        <f t="shared" si="1"/>
        <v>10441</v>
      </c>
      <c r="B10" s="45" t="str">
        <f t="shared" si="0"/>
        <v>10.02.97</v>
      </c>
      <c r="C10" s="45" t="str">
        <f t="shared" si="0"/>
        <v>Old World Delicatessen</v>
      </c>
      <c r="D10" s="45" t="str">
        <f t="shared" si="0"/>
        <v>99508</v>
      </c>
      <c r="E10" s="45" t="str">
        <f t="shared" si="0"/>
        <v>Anchorage</v>
      </c>
      <c r="F10" s="45" t="str">
        <f t="shared" si="0"/>
        <v/>
      </c>
      <c r="G10" s="45" t="str">
        <f t="shared" si="1"/>
        <v/>
      </c>
      <c r="H10" s="45" t="str">
        <f t="shared" si="0"/>
        <v/>
      </c>
      <c r="I10" s="45" t="str">
        <f t="shared" si="0"/>
        <v/>
      </c>
      <c r="K10" t="s">
        <v>1210</v>
      </c>
    </row>
    <row r="11" spans="1:16">
      <c r="A11" s="45" t="str">
        <f t="shared" si="1"/>
        <v>10440</v>
      </c>
      <c r="B11" s="45" t="str">
        <f t="shared" si="0"/>
        <v>10.02.97</v>
      </c>
      <c r="C11" s="45" t="str">
        <f t="shared" si="0"/>
        <v>Save-a-lot Markets</v>
      </c>
      <c r="D11" s="45" t="str">
        <f t="shared" si="0"/>
        <v>83720</v>
      </c>
      <c r="E11" s="45" t="str">
        <f t="shared" si="0"/>
        <v>Boise</v>
      </c>
      <c r="F11" s="45" t="str">
        <f t="shared" si="0"/>
        <v/>
      </c>
      <c r="G11" s="45" t="str">
        <f t="shared" si="1"/>
        <v/>
      </c>
      <c r="H11" s="45" t="str">
        <f t="shared" si="0"/>
        <v/>
      </c>
      <c r="I11" s="45" t="str">
        <f t="shared" si="0"/>
        <v/>
      </c>
      <c r="K11" t="s">
        <v>1211</v>
      </c>
    </row>
    <row r="12" spans="1:16">
      <c r="A12" s="45" t="str">
        <f t="shared" si="1"/>
        <v>10439</v>
      </c>
      <c r="B12" s="45" t="str">
        <f t="shared" si="0"/>
        <v>07.02.97</v>
      </c>
      <c r="C12" s="45" t="str">
        <f t="shared" si="0"/>
        <v>Mère Paillarde</v>
      </c>
      <c r="D12" s="45" t="str">
        <f t="shared" si="0"/>
        <v>H1J 1C3</v>
      </c>
      <c r="E12" s="45" t="str">
        <f t="shared" si="0"/>
        <v>Montréal</v>
      </c>
      <c r="F12" s="45" t="str">
        <f t="shared" si="0"/>
        <v/>
      </c>
      <c r="G12" s="45" t="str">
        <f t="shared" si="1"/>
        <v/>
      </c>
      <c r="H12" s="45" t="str">
        <f t="shared" si="0"/>
        <v/>
      </c>
      <c r="I12" s="45" t="str">
        <f t="shared" si="0"/>
        <v/>
      </c>
      <c r="K12" t="s">
        <v>1212</v>
      </c>
    </row>
    <row r="13" spans="1:16">
      <c r="A13" s="45" t="str">
        <f t="shared" si="1"/>
        <v>10438</v>
      </c>
      <c r="B13" s="45" t="str">
        <f t="shared" si="0"/>
        <v>06.02.97</v>
      </c>
      <c r="C13" s="45" t="str">
        <f t="shared" si="0"/>
        <v>Toms Spezialitäten</v>
      </c>
      <c r="D13" s="45" t="str">
        <f t="shared" si="0"/>
        <v>44087</v>
      </c>
      <c r="E13" s="45" t="str">
        <f t="shared" si="0"/>
        <v>Münster</v>
      </c>
      <c r="F13" s="45" t="str">
        <f t="shared" si="0"/>
        <v/>
      </c>
      <c r="G13" s="45" t="str">
        <f t="shared" si="1"/>
        <v/>
      </c>
      <c r="H13" s="45" t="str">
        <f t="shared" si="0"/>
        <v/>
      </c>
      <c r="I13" s="45" t="str">
        <f t="shared" si="0"/>
        <v/>
      </c>
    </row>
    <row r="14" spans="1:16">
      <c r="A14" s="45" t="str">
        <f t="shared" si="1"/>
        <v>10437</v>
      </c>
      <c r="B14" s="45" t="str">
        <f t="shared" si="0"/>
        <v>05.02.97</v>
      </c>
      <c r="C14" s="45" t="str">
        <f t="shared" si="0"/>
        <v>Wartian Herkku</v>
      </c>
      <c r="D14" s="45" t="str">
        <f t="shared" si="0"/>
        <v>90110</v>
      </c>
      <c r="E14" s="45" t="str">
        <f t="shared" si="0"/>
        <v>Oulu</v>
      </c>
      <c r="F14" s="45" t="str">
        <f t="shared" si="0"/>
        <v/>
      </c>
      <c r="G14" s="45" t="str">
        <f t="shared" si="1"/>
        <v/>
      </c>
      <c r="H14" s="45" t="str">
        <f t="shared" si="0"/>
        <v/>
      </c>
      <c r="I14" s="45" t="str">
        <f t="shared" si="0"/>
        <v/>
      </c>
    </row>
    <row r="15" spans="1:16">
      <c r="A15" s="45" t="str">
        <f t="shared" si="1"/>
        <v>10436</v>
      </c>
      <c r="B15" s="45" t="str">
        <f t="shared" si="0"/>
        <v>05.02.97</v>
      </c>
      <c r="C15" s="45" t="str">
        <f t="shared" si="0"/>
        <v>Blondel père et fils</v>
      </c>
      <c r="D15" s="45" t="str">
        <f t="shared" si="0"/>
        <v>67000</v>
      </c>
      <c r="E15" s="45" t="str">
        <f t="shared" si="0"/>
        <v>Strasbourg</v>
      </c>
      <c r="F15" s="45" t="str">
        <f t="shared" si="0"/>
        <v/>
      </c>
      <c r="G15" s="45" t="str">
        <f t="shared" si="1"/>
        <v/>
      </c>
      <c r="H15" s="45" t="str">
        <f t="shared" si="0"/>
        <v/>
      </c>
      <c r="I15" s="45" t="str">
        <f t="shared" si="0"/>
        <v/>
      </c>
    </row>
    <row r="16" spans="1:16">
      <c r="A16" s="45" t="str">
        <f t="shared" si="1"/>
        <v>10435</v>
      </c>
      <c r="B16" s="45" t="str">
        <f t="shared" si="0"/>
        <v>04.02.97</v>
      </c>
      <c r="C16" s="45" t="str">
        <f t="shared" si="0"/>
        <v>Consolidated Holdings</v>
      </c>
      <c r="D16" s="45" t="str">
        <f t="shared" si="0"/>
        <v>WX1 6LT</v>
      </c>
      <c r="E16" s="45" t="str">
        <f t="shared" si="0"/>
        <v>London</v>
      </c>
      <c r="F16" s="45" t="str">
        <f t="shared" si="0"/>
        <v/>
      </c>
      <c r="G16" s="45" t="str">
        <f t="shared" si="1"/>
        <v/>
      </c>
      <c r="H16" s="45" t="str">
        <f t="shared" si="0"/>
        <v/>
      </c>
      <c r="I16" s="45" t="str">
        <f t="shared" si="0"/>
        <v/>
      </c>
    </row>
    <row r="17" spans="1:9">
      <c r="A17" s="45" t="str">
        <f t="shared" si="1"/>
        <v>10434</v>
      </c>
      <c r="B17" s="45" t="str">
        <f t="shared" si="0"/>
        <v>03.02.97</v>
      </c>
      <c r="C17" s="45" t="str">
        <f t="shared" si="0"/>
        <v>Folk och fä HB</v>
      </c>
      <c r="D17" s="45" t="str">
        <f t="shared" si="0"/>
        <v>S-844 67</v>
      </c>
      <c r="E17" s="45" t="str">
        <f t="shared" si="0"/>
        <v>Bräcke</v>
      </c>
      <c r="F17" s="45" t="str">
        <f t="shared" si="0"/>
        <v/>
      </c>
      <c r="G17" s="45" t="str">
        <f t="shared" si="1"/>
        <v/>
      </c>
      <c r="H17" s="45" t="str">
        <f t="shared" si="0"/>
        <v/>
      </c>
      <c r="I17" s="45" t="str">
        <f t="shared" si="0"/>
        <v/>
      </c>
    </row>
    <row r="18" spans="1:9">
      <c r="A18" s="45" t="str">
        <f t="shared" si="1"/>
        <v>10433</v>
      </c>
      <c r="B18" s="45" t="str">
        <f t="shared" si="0"/>
        <v>03.02.97</v>
      </c>
      <c r="C18" s="45" t="str">
        <f t="shared" si="0"/>
        <v>Princesa Isabel Vinhoss</v>
      </c>
      <c r="D18" s="45" t="str">
        <f t="shared" si="0"/>
        <v>1756</v>
      </c>
      <c r="E18" s="45" t="str">
        <f t="shared" si="0"/>
        <v>Lisboa</v>
      </c>
      <c r="F18" s="45" t="str">
        <f t="shared" si="0"/>
        <v/>
      </c>
      <c r="G18" s="45" t="str">
        <f t="shared" si="1"/>
        <v/>
      </c>
      <c r="H18" s="45" t="str">
        <f t="shared" si="0"/>
        <v/>
      </c>
      <c r="I18" s="45" t="str">
        <f t="shared" si="0"/>
        <v/>
      </c>
    </row>
    <row r="19" spans="1:9">
      <c r="A19" s="45" t="str">
        <f t="shared" si="1"/>
        <v>10432</v>
      </c>
      <c r="B19" s="45" t="str">
        <f t="shared" si="0"/>
        <v>31.01.97</v>
      </c>
      <c r="C19" s="45" t="str">
        <f t="shared" si="0"/>
        <v>Split Rail Beer &amp; Ale</v>
      </c>
      <c r="D19" s="45" t="str">
        <f t="shared" si="0"/>
        <v>82520</v>
      </c>
      <c r="E19" s="45" t="str">
        <f t="shared" si="0"/>
        <v>Lander</v>
      </c>
      <c r="F19" s="45" t="str">
        <f t="shared" si="0"/>
        <v/>
      </c>
      <c r="G19" s="45" t="str">
        <f t="shared" si="1"/>
        <v/>
      </c>
      <c r="H19" s="45" t="str">
        <f t="shared" si="0"/>
        <v/>
      </c>
      <c r="I19" s="45" t="str">
        <f t="shared" si="0"/>
        <v/>
      </c>
    </row>
    <row r="20" spans="1:9">
      <c r="A20" s="45" t="str">
        <f t="shared" si="1"/>
        <v>10431</v>
      </c>
      <c r="B20" s="45" t="str">
        <f t="shared" si="0"/>
        <v>30.01.97</v>
      </c>
      <c r="C20" s="45" t="str">
        <f t="shared" si="0"/>
        <v>Bottom-Dollar Marketse</v>
      </c>
      <c r="D20" s="45" t="str">
        <f t="shared" si="0"/>
        <v>T2F 8M4</v>
      </c>
      <c r="E20" s="45" t="str">
        <f t="shared" si="0"/>
        <v>Tsawassen</v>
      </c>
      <c r="F20" s="45" t="str">
        <f t="shared" si="0"/>
        <v/>
      </c>
      <c r="G20" s="45" t="str">
        <f t="shared" si="1"/>
        <v/>
      </c>
      <c r="H20" s="45" t="str">
        <f t="shared" si="0"/>
        <v/>
      </c>
      <c r="I20" s="45" t="str">
        <f t="shared" si="0"/>
        <v/>
      </c>
    </row>
    <row r="21" spans="1:9">
      <c r="A21" s="45" t="str">
        <f t="shared" si="1"/>
        <v>10430</v>
      </c>
      <c r="B21" s="45" t="str">
        <f t="shared" si="0"/>
        <v>30.01.97</v>
      </c>
      <c r="C21" s="45" t="str">
        <f t="shared" si="0"/>
        <v>Ernst Handel</v>
      </c>
      <c r="D21" s="45" t="str">
        <f t="shared" si="0"/>
        <v>8010</v>
      </c>
      <c r="E21" s="45" t="str">
        <f t="shared" si="0"/>
        <v>Graz</v>
      </c>
      <c r="F21" s="45" t="str">
        <f t="shared" si="0"/>
        <v/>
      </c>
      <c r="G21" s="45" t="str">
        <f t="shared" si="1"/>
        <v/>
      </c>
      <c r="H21" s="45" t="str">
        <f t="shared" si="0"/>
        <v/>
      </c>
      <c r="I21" s="45" t="str">
        <f t="shared" si="0"/>
        <v/>
      </c>
    </row>
    <row r="22" spans="1:9">
      <c r="A22" s="45" t="str">
        <f t="shared" si="1"/>
        <v>10429</v>
      </c>
      <c r="B22" s="45" t="str">
        <f t="shared" si="0"/>
        <v>29.01.97</v>
      </c>
      <c r="C22" s="45" t="str">
        <f t="shared" si="0"/>
        <v>Hungry Owl All-Night Grocers</v>
      </c>
      <c r="D22" s="45" t="str">
        <f t="shared" si="0"/>
        <v/>
      </c>
      <c r="E22" s="45" t="str">
        <f t="shared" si="0"/>
        <v>Cork</v>
      </c>
      <c r="F22" s="45" t="str">
        <f t="shared" si="0"/>
        <v/>
      </c>
      <c r="G22" s="45" t="str">
        <f t="shared" si="1"/>
        <v/>
      </c>
      <c r="H22" s="45" t="str">
        <f t="shared" si="0"/>
        <v/>
      </c>
      <c r="I22" s="45" t="str">
        <f t="shared" si="0"/>
        <v/>
      </c>
    </row>
    <row r="23" spans="1:9">
      <c r="A23" s="45" t="str">
        <f t="shared" si="1"/>
        <v>10428</v>
      </c>
      <c r="B23" s="45" t="str">
        <f t="shared" si="1"/>
        <v>28.01.97</v>
      </c>
      <c r="C23" s="45" t="str">
        <f t="shared" si="1"/>
        <v>Reggiani Caseifici</v>
      </c>
      <c r="D23" s="45" t="str">
        <f t="shared" si="1"/>
        <v>42100</v>
      </c>
      <c r="E23" s="45" t="str">
        <f t="shared" si="1"/>
        <v>Reggio Emilia</v>
      </c>
      <c r="F23" s="45" t="str">
        <f t="shared" si="1"/>
        <v/>
      </c>
      <c r="G23" s="45" t="str">
        <f t="shared" si="1"/>
        <v/>
      </c>
      <c r="H23" s="45" t="str">
        <f t="shared" si="1"/>
        <v/>
      </c>
      <c r="I23" s="45" t="str">
        <f t="shared" si="1"/>
        <v/>
      </c>
    </row>
    <row r="24" spans="1:9">
      <c r="A24" s="45" t="str">
        <f t="shared" si="1"/>
        <v>10427</v>
      </c>
      <c r="B24" s="45" t="str">
        <f t="shared" si="1"/>
        <v>27.01.97</v>
      </c>
      <c r="C24" s="45" t="str">
        <f t="shared" si="1"/>
        <v>Piccolo und mehr</v>
      </c>
      <c r="D24" s="45" t="str">
        <f t="shared" si="1"/>
        <v>5020</v>
      </c>
      <c r="E24" s="45" t="str">
        <f t="shared" si="1"/>
        <v>Salzburg</v>
      </c>
      <c r="F24" s="45" t="str">
        <f t="shared" si="1"/>
        <v/>
      </c>
      <c r="G24" s="45" t="str">
        <f t="shared" si="1"/>
        <v/>
      </c>
      <c r="H24" s="45" t="str">
        <f t="shared" si="1"/>
        <v/>
      </c>
      <c r="I24" s="45" t="str">
        <f t="shared" si="1"/>
        <v/>
      </c>
    </row>
    <row r="25" spans="1:9">
      <c r="A25" s="45" t="str">
        <f t="shared" si="1"/>
        <v>10426</v>
      </c>
      <c r="B25" s="45" t="str">
        <f t="shared" si="1"/>
        <v>27.01.97</v>
      </c>
      <c r="C25" s="45" t="str">
        <f t="shared" si="1"/>
        <v>Galería del gastrónomo</v>
      </c>
      <c r="D25" s="45" t="str">
        <f t="shared" si="1"/>
        <v>8022</v>
      </c>
      <c r="E25" s="45" t="str">
        <f t="shared" si="1"/>
        <v>Barcelona</v>
      </c>
      <c r="F25" s="45" t="str">
        <f t="shared" si="1"/>
        <v/>
      </c>
      <c r="G25" s="45" t="str">
        <f t="shared" si="1"/>
        <v/>
      </c>
      <c r="H25" s="45" t="str">
        <f t="shared" si="1"/>
        <v/>
      </c>
      <c r="I25" s="45" t="str">
        <f t="shared" si="1"/>
        <v/>
      </c>
    </row>
    <row r="26" spans="1:9">
      <c r="A26" s="45" t="str">
        <f t="shared" ref="A26:I54" si="2">relCell($P$1,ROW()-7,COLUMN(),0,1)</f>
        <v>10425</v>
      </c>
      <c r="B26" s="45" t="str">
        <f t="shared" si="2"/>
        <v>24.01.97</v>
      </c>
      <c r="C26" s="45" t="str">
        <f t="shared" si="2"/>
        <v>La maison d'Asie</v>
      </c>
      <c r="D26" s="45" t="str">
        <f t="shared" si="2"/>
        <v>31000</v>
      </c>
      <c r="E26" s="45" t="str">
        <f t="shared" si="2"/>
        <v>Toulouse</v>
      </c>
      <c r="F26" s="45" t="str">
        <f t="shared" si="2"/>
        <v/>
      </c>
      <c r="G26" s="45" t="str">
        <f t="shared" si="2"/>
        <v/>
      </c>
      <c r="H26" s="45" t="str">
        <f t="shared" si="2"/>
        <v/>
      </c>
      <c r="I26" s="45" t="str">
        <f t="shared" si="2"/>
        <v/>
      </c>
    </row>
    <row r="27" spans="1:9">
      <c r="A27" s="45" t="str">
        <f t="shared" si="2"/>
        <v>10424</v>
      </c>
      <c r="B27" s="45" t="str">
        <f t="shared" si="2"/>
        <v>23.01.97</v>
      </c>
      <c r="C27" s="45" t="str">
        <f t="shared" si="2"/>
        <v>Mère Paillarde</v>
      </c>
      <c r="D27" s="45" t="str">
        <f t="shared" si="2"/>
        <v>H1J 1C3</v>
      </c>
      <c r="E27" s="45" t="str">
        <f t="shared" si="2"/>
        <v>Montréal</v>
      </c>
      <c r="F27" s="45" t="str">
        <f t="shared" si="2"/>
        <v/>
      </c>
      <c r="G27" s="45" t="str">
        <f t="shared" si="2"/>
        <v/>
      </c>
      <c r="H27" s="45" t="str">
        <f t="shared" si="2"/>
        <v/>
      </c>
      <c r="I27" s="45" t="str">
        <f t="shared" si="2"/>
        <v/>
      </c>
    </row>
    <row r="28" spans="1:9">
      <c r="A28" s="45" t="str">
        <f t="shared" si="2"/>
        <v>10423</v>
      </c>
      <c r="B28" s="45" t="str">
        <f t="shared" si="2"/>
        <v>23.01.97</v>
      </c>
      <c r="C28" s="45" t="str">
        <f t="shared" si="2"/>
        <v>Gourmet Lanchonetes</v>
      </c>
      <c r="D28" s="45" t="str">
        <f t="shared" si="2"/>
        <v>04876-786</v>
      </c>
      <c r="E28" s="45" t="str">
        <f t="shared" si="2"/>
        <v>Campinas</v>
      </c>
      <c r="F28" s="45" t="str">
        <f t="shared" si="2"/>
        <v/>
      </c>
      <c r="G28" s="45" t="str">
        <f t="shared" si="2"/>
        <v/>
      </c>
      <c r="H28" s="45" t="str">
        <f t="shared" si="2"/>
        <v/>
      </c>
      <c r="I28" s="45" t="str">
        <f t="shared" si="2"/>
        <v/>
      </c>
    </row>
    <row r="29" spans="1:9">
      <c r="A29" s="45" t="str">
        <f t="shared" si="2"/>
        <v>10422</v>
      </c>
      <c r="B29" s="45" t="str">
        <f t="shared" si="2"/>
        <v>22.01.97</v>
      </c>
      <c r="C29" s="45" t="str">
        <f t="shared" si="2"/>
        <v>Franchi S.p.A.</v>
      </c>
      <c r="D29" s="45" t="str">
        <f t="shared" si="2"/>
        <v>10100</v>
      </c>
      <c r="E29" s="45" t="str">
        <f t="shared" si="2"/>
        <v>Torino</v>
      </c>
      <c r="F29" s="45" t="str">
        <f t="shared" si="2"/>
        <v/>
      </c>
      <c r="G29" s="45" t="str">
        <f t="shared" si="2"/>
        <v/>
      </c>
      <c r="H29" s="45" t="str">
        <f t="shared" si="2"/>
        <v/>
      </c>
      <c r="I29" s="45" t="str">
        <f t="shared" si="2"/>
        <v/>
      </c>
    </row>
    <row r="30" spans="1:9">
      <c r="A30" s="45" t="str">
        <f t="shared" si="2"/>
        <v>10421</v>
      </c>
      <c r="B30" s="45" t="str">
        <f t="shared" si="2"/>
        <v>21.01.97</v>
      </c>
      <c r="C30" s="45" t="str">
        <f t="shared" si="2"/>
        <v>Que Delícia</v>
      </c>
      <c r="D30" s="45" t="str">
        <f t="shared" si="2"/>
        <v>02389-673</v>
      </c>
      <c r="E30" s="45" t="str">
        <f t="shared" si="2"/>
        <v>Rio de Janeiro</v>
      </c>
      <c r="F30" s="45" t="str">
        <f t="shared" si="2"/>
        <v/>
      </c>
      <c r="G30" s="45" t="str">
        <f t="shared" si="2"/>
        <v/>
      </c>
      <c r="H30" s="45" t="str">
        <f t="shared" si="2"/>
        <v/>
      </c>
      <c r="I30" s="45" t="str">
        <f t="shared" si="2"/>
        <v/>
      </c>
    </row>
    <row r="31" spans="1:9">
      <c r="A31" s="45" t="str">
        <f t="shared" si="2"/>
        <v>10420</v>
      </c>
      <c r="B31" s="45" t="str">
        <f t="shared" si="2"/>
        <v>21.01.97</v>
      </c>
      <c r="C31" s="45" t="str">
        <f t="shared" si="2"/>
        <v>Wellington Importadora</v>
      </c>
      <c r="D31" s="45" t="str">
        <f t="shared" si="2"/>
        <v>08737-363</v>
      </c>
      <c r="E31" s="45" t="str">
        <f t="shared" si="2"/>
        <v>Resende</v>
      </c>
      <c r="F31" s="45" t="str">
        <f t="shared" si="2"/>
        <v/>
      </c>
      <c r="G31" s="45" t="str">
        <f t="shared" si="2"/>
        <v/>
      </c>
      <c r="H31" s="45" t="str">
        <f t="shared" si="2"/>
        <v/>
      </c>
      <c r="I31" s="45" t="str">
        <f t="shared" si="2"/>
        <v/>
      </c>
    </row>
    <row r="32" spans="1:9">
      <c r="A32" s="45" t="str">
        <f t="shared" si="2"/>
        <v>10419</v>
      </c>
      <c r="B32" s="45" t="str">
        <f t="shared" si="2"/>
        <v>20.01.97</v>
      </c>
      <c r="C32" s="45" t="str">
        <f t="shared" si="2"/>
        <v>Richter Supermarkt</v>
      </c>
      <c r="D32" s="45" t="str">
        <f t="shared" si="2"/>
        <v>1203</v>
      </c>
      <c r="E32" s="45" t="str">
        <f t="shared" si="2"/>
        <v>Genève</v>
      </c>
      <c r="F32" s="45" t="str">
        <f t="shared" si="2"/>
        <v/>
      </c>
      <c r="G32" s="45" t="str">
        <f t="shared" si="2"/>
        <v/>
      </c>
      <c r="H32" s="45" t="str">
        <f t="shared" si="2"/>
        <v/>
      </c>
      <c r="I32" s="45" t="str">
        <f t="shared" si="2"/>
        <v/>
      </c>
    </row>
    <row r="33" spans="1:9">
      <c r="A33" s="45" t="str">
        <f t="shared" si="2"/>
        <v>10418</v>
      </c>
      <c r="B33" s="45" t="str">
        <f t="shared" si="2"/>
        <v>17.01.97</v>
      </c>
      <c r="C33" s="45" t="str">
        <f t="shared" si="2"/>
        <v>QUICK-Stop</v>
      </c>
      <c r="D33" s="45" t="str">
        <f t="shared" si="2"/>
        <v>1307</v>
      </c>
      <c r="E33" s="45" t="str">
        <f t="shared" si="2"/>
        <v>Cunewalde</v>
      </c>
      <c r="F33" s="45" t="str">
        <f t="shared" si="2"/>
        <v/>
      </c>
      <c r="G33" s="45" t="str">
        <f t="shared" si="2"/>
        <v/>
      </c>
      <c r="H33" s="45" t="str">
        <f t="shared" si="2"/>
        <v/>
      </c>
      <c r="I33" s="45" t="str">
        <f t="shared" si="2"/>
        <v/>
      </c>
    </row>
    <row r="34" spans="1:9">
      <c r="A34" s="45" t="str">
        <f t="shared" si="2"/>
        <v>10417</v>
      </c>
      <c r="B34" s="45" t="str">
        <f t="shared" si="2"/>
        <v>16.01.97</v>
      </c>
      <c r="C34" s="45" t="str">
        <f t="shared" si="2"/>
        <v>Simons bistro</v>
      </c>
      <c r="D34" s="45" t="str">
        <f t="shared" si="2"/>
        <v>1734</v>
      </c>
      <c r="E34" s="45" t="str">
        <f t="shared" si="2"/>
        <v>København</v>
      </c>
      <c r="F34" s="45" t="str">
        <f t="shared" si="2"/>
        <v/>
      </c>
      <c r="G34" s="45" t="str">
        <f t="shared" si="2"/>
        <v/>
      </c>
      <c r="H34" s="45" t="str">
        <f t="shared" si="2"/>
        <v/>
      </c>
      <c r="I34" s="45" t="str">
        <f t="shared" si="2"/>
        <v/>
      </c>
    </row>
    <row r="35" spans="1:9">
      <c r="A35" s="45" t="str">
        <f t="shared" si="2"/>
        <v>10416</v>
      </c>
      <c r="B35" s="45" t="str">
        <f t="shared" si="2"/>
        <v>16.01.97</v>
      </c>
      <c r="C35" s="45" t="str">
        <f t="shared" si="2"/>
        <v>Wartian Herkku</v>
      </c>
      <c r="D35" s="45" t="str">
        <f t="shared" si="2"/>
        <v>90110</v>
      </c>
      <c r="E35" s="45" t="str">
        <f t="shared" si="2"/>
        <v>Oulu</v>
      </c>
      <c r="F35" s="45" t="str">
        <f t="shared" si="2"/>
        <v/>
      </c>
      <c r="G35" s="45" t="str">
        <f t="shared" si="2"/>
        <v/>
      </c>
      <c r="H35" s="45" t="str">
        <f t="shared" si="2"/>
        <v/>
      </c>
      <c r="I35" s="45" t="str">
        <f t="shared" si="2"/>
        <v/>
      </c>
    </row>
    <row r="36" spans="1:9">
      <c r="A36" s="45" t="str">
        <f t="shared" si="2"/>
        <v>10415</v>
      </c>
      <c r="B36" s="45" t="str">
        <f t="shared" si="2"/>
        <v>15.01.97</v>
      </c>
      <c r="C36" s="45" t="str">
        <f t="shared" si="2"/>
        <v>Hungry Coyote Import Store</v>
      </c>
      <c r="D36" s="45" t="str">
        <f t="shared" si="2"/>
        <v>97827</v>
      </c>
      <c r="E36" s="45" t="str">
        <f t="shared" si="2"/>
        <v>Elgin</v>
      </c>
      <c r="F36" s="45" t="str">
        <f t="shared" si="2"/>
        <v/>
      </c>
      <c r="G36" s="45" t="str">
        <f t="shared" si="2"/>
        <v/>
      </c>
      <c r="H36" s="45" t="str">
        <f t="shared" si="2"/>
        <v/>
      </c>
      <c r="I36" s="45" t="str">
        <f t="shared" si="2"/>
        <v/>
      </c>
    </row>
    <row r="37" spans="1:9">
      <c r="A37" s="45" t="str">
        <f t="shared" si="2"/>
        <v>10414</v>
      </c>
      <c r="B37" s="45" t="str">
        <f t="shared" si="2"/>
        <v>14.01.97</v>
      </c>
      <c r="C37" s="45" t="str">
        <f t="shared" si="2"/>
        <v>Familia Arquibaldo</v>
      </c>
      <c r="D37" s="45" t="str">
        <f t="shared" si="2"/>
        <v>05442-030</v>
      </c>
      <c r="E37" s="45" t="str">
        <f t="shared" si="2"/>
        <v>São Paulo</v>
      </c>
      <c r="F37" s="45" t="str">
        <f t="shared" si="2"/>
        <v/>
      </c>
      <c r="G37" s="45" t="str">
        <f t="shared" si="2"/>
        <v/>
      </c>
      <c r="H37" s="45" t="str">
        <f t="shared" si="2"/>
        <v/>
      </c>
      <c r="I37" s="45" t="str">
        <f t="shared" si="2"/>
        <v/>
      </c>
    </row>
    <row r="38" spans="1:9">
      <c r="A38" s="45" t="str">
        <f t="shared" si="2"/>
        <v>10413</v>
      </c>
      <c r="B38" s="45" t="str">
        <f t="shared" si="2"/>
        <v>14.01.97</v>
      </c>
      <c r="C38" s="45" t="str">
        <f t="shared" si="2"/>
        <v>La maison d'Asie</v>
      </c>
      <c r="D38" s="45" t="str">
        <f t="shared" si="2"/>
        <v>31000</v>
      </c>
      <c r="E38" s="45" t="str">
        <f t="shared" si="2"/>
        <v>Toulouse</v>
      </c>
      <c r="F38" s="45" t="str">
        <f t="shared" si="2"/>
        <v/>
      </c>
      <c r="G38" s="45" t="str">
        <f t="shared" si="2"/>
        <v/>
      </c>
      <c r="H38" s="45" t="str">
        <f t="shared" si="2"/>
        <v/>
      </c>
      <c r="I38" s="45" t="str">
        <f t="shared" si="2"/>
        <v/>
      </c>
    </row>
    <row r="39" spans="1:9">
      <c r="A39" s="45" t="str">
        <f t="shared" si="2"/>
        <v>10412</v>
      </c>
      <c r="B39" s="45" t="str">
        <f t="shared" si="2"/>
        <v>13.01.97</v>
      </c>
      <c r="C39" s="45" t="str">
        <f t="shared" si="2"/>
        <v>Wartian Herkku</v>
      </c>
      <c r="D39" s="45" t="str">
        <f t="shared" si="2"/>
        <v>90110</v>
      </c>
      <c r="E39" s="45" t="str">
        <f t="shared" si="2"/>
        <v>Oulu</v>
      </c>
      <c r="F39" s="45" t="str">
        <f t="shared" si="2"/>
        <v/>
      </c>
      <c r="G39" s="45" t="str">
        <f t="shared" si="2"/>
        <v/>
      </c>
      <c r="H39" s="45" t="str">
        <f t="shared" si="2"/>
        <v/>
      </c>
      <c r="I39" s="45" t="str">
        <f t="shared" si="2"/>
        <v/>
      </c>
    </row>
    <row r="40" spans="1:9">
      <c r="A40" s="45" t="str">
        <f t="shared" si="2"/>
        <v>10411</v>
      </c>
      <c r="B40" s="45" t="str">
        <f t="shared" si="2"/>
        <v>10.01.97</v>
      </c>
      <c r="C40" s="45" t="str">
        <f t="shared" si="2"/>
        <v>Bottom-Dollar Marketse</v>
      </c>
      <c r="D40" s="45" t="str">
        <f t="shared" si="2"/>
        <v>T2F 8M4</v>
      </c>
      <c r="E40" s="45" t="str">
        <f t="shared" si="2"/>
        <v>Tsawassen</v>
      </c>
      <c r="F40" s="45" t="str">
        <f t="shared" si="2"/>
        <v/>
      </c>
      <c r="G40" s="45" t="str">
        <f t="shared" si="2"/>
        <v/>
      </c>
      <c r="H40" s="45" t="str">
        <f t="shared" si="2"/>
        <v/>
      </c>
      <c r="I40" s="45" t="str">
        <f t="shared" si="2"/>
        <v/>
      </c>
    </row>
    <row r="41" spans="1:9">
      <c r="A41" s="45" t="str">
        <f t="shared" si="2"/>
        <v>10410</v>
      </c>
      <c r="B41" s="45" t="str">
        <f t="shared" si="2"/>
        <v>10.01.97</v>
      </c>
      <c r="C41" s="45" t="str">
        <f t="shared" si="2"/>
        <v>Bottom-Dollar Marketse</v>
      </c>
      <c r="D41" s="45" t="str">
        <f t="shared" si="2"/>
        <v>T2F 8M4</v>
      </c>
      <c r="E41" s="45" t="str">
        <f t="shared" si="2"/>
        <v>Tsawassen</v>
      </c>
      <c r="F41" s="45" t="str">
        <f t="shared" si="2"/>
        <v/>
      </c>
      <c r="G41" s="45" t="str">
        <f t="shared" si="2"/>
        <v/>
      </c>
      <c r="H41" s="45" t="str">
        <f t="shared" si="2"/>
        <v/>
      </c>
      <c r="I41" s="45" t="str">
        <f t="shared" si="2"/>
        <v/>
      </c>
    </row>
    <row r="42" spans="1:9">
      <c r="A42" s="45" t="str">
        <f t="shared" si="2"/>
        <v>10409</v>
      </c>
      <c r="B42" s="45" t="str">
        <f t="shared" si="2"/>
        <v>09.01.97</v>
      </c>
      <c r="C42" s="45" t="str">
        <f t="shared" si="2"/>
        <v>Océano Atlántico Ltda.</v>
      </c>
      <c r="D42" s="45" t="str">
        <f t="shared" si="2"/>
        <v>1010</v>
      </c>
      <c r="E42" s="45" t="str">
        <f t="shared" si="2"/>
        <v>Buenos Aires</v>
      </c>
      <c r="F42" s="45" t="str">
        <f t="shared" si="2"/>
        <v/>
      </c>
      <c r="G42" s="45" t="str">
        <f t="shared" si="2"/>
        <v/>
      </c>
      <c r="H42" s="45" t="str">
        <f t="shared" si="2"/>
        <v/>
      </c>
      <c r="I42" s="45" t="str">
        <f t="shared" si="2"/>
        <v/>
      </c>
    </row>
    <row r="43" spans="1:9">
      <c r="A43" s="45" t="str">
        <f t="shared" si="2"/>
        <v>10408</v>
      </c>
      <c r="B43" s="45" t="str">
        <f t="shared" si="2"/>
        <v>08.01.97</v>
      </c>
      <c r="C43" s="45" t="str">
        <f t="shared" si="2"/>
        <v>Folies gourmandes</v>
      </c>
      <c r="D43" s="45" t="str">
        <f t="shared" si="2"/>
        <v>59000</v>
      </c>
      <c r="E43" s="45" t="str">
        <f t="shared" si="2"/>
        <v>Lille</v>
      </c>
      <c r="F43" s="45" t="str">
        <f t="shared" si="2"/>
        <v/>
      </c>
      <c r="G43" s="45" t="str">
        <f t="shared" si="2"/>
        <v/>
      </c>
      <c r="H43" s="45" t="str">
        <f t="shared" si="2"/>
        <v/>
      </c>
      <c r="I43" s="45" t="str">
        <f t="shared" si="2"/>
        <v/>
      </c>
    </row>
    <row r="44" spans="1:9">
      <c r="A44" s="45" t="str">
        <f t="shared" si="2"/>
        <v>10407</v>
      </c>
      <c r="B44" s="45" t="str">
        <f t="shared" si="2"/>
        <v>07.01.97</v>
      </c>
      <c r="C44" s="45" t="str">
        <f t="shared" si="2"/>
        <v>Ottilies Käseladen</v>
      </c>
      <c r="D44" s="45" t="str">
        <f t="shared" si="2"/>
        <v>50739</v>
      </c>
      <c r="E44" s="45" t="str">
        <f t="shared" si="2"/>
        <v>Köln</v>
      </c>
      <c r="F44" s="45" t="str">
        <f t="shared" si="2"/>
        <v/>
      </c>
      <c r="G44" s="45" t="str">
        <f t="shared" si="2"/>
        <v/>
      </c>
      <c r="H44" s="45" t="str">
        <f t="shared" si="2"/>
        <v/>
      </c>
      <c r="I44" s="45" t="str">
        <f t="shared" si="2"/>
        <v/>
      </c>
    </row>
    <row r="45" spans="1:9">
      <c r="A45" s="45" t="str">
        <f t="shared" si="2"/>
        <v>10406</v>
      </c>
      <c r="B45" s="45" t="str">
        <f t="shared" si="2"/>
        <v>07.01.97</v>
      </c>
      <c r="C45" s="45" t="str">
        <f t="shared" si="2"/>
        <v>Queen Cozinha</v>
      </c>
      <c r="D45" s="45" t="str">
        <f t="shared" si="2"/>
        <v>05487-020</v>
      </c>
      <c r="E45" s="45" t="str">
        <f t="shared" si="2"/>
        <v>São Paulo</v>
      </c>
      <c r="F45" s="45" t="str">
        <f t="shared" si="2"/>
        <v/>
      </c>
      <c r="G45" s="45" t="str">
        <f t="shared" si="2"/>
        <v/>
      </c>
      <c r="H45" s="45" t="str">
        <f t="shared" si="2"/>
        <v/>
      </c>
      <c r="I45" s="45" t="str">
        <f t="shared" si="2"/>
        <v/>
      </c>
    </row>
    <row r="46" spans="1:9">
      <c r="A46" s="45" t="str">
        <f t="shared" si="2"/>
        <v>10405</v>
      </c>
      <c r="B46" s="45" t="str">
        <f t="shared" si="2"/>
        <v>06.01.97</v>
      </c>
      <c r="C46" s="45" t="str">
        <f t="shared" si="2"/>
        <v>LINO-Delicateses</v>
      </c>
      <c r="D46" s="45" t="str">
        <f t="shared" si="2"/>
        <v>4980</v>
      </c>
      <c r="E46" s="45" t="str">
        <f t="shared" si="2"/>
        <v>I. de Margarita</v>
      </c>
      <c r="F46" s="45" t="str">
        <f t="shared" si="2"/>
        <v/>
      </c>
      <c r="G46" s="45" t="str">
        <f t="shared" si="2"/>
        <v/>
      </c>
      <c r="H46" s="45" t="str">
        <f t="shared" si="2"/>
        <v/>
      </c>
      <c r="I46" s="45" t="str">
        <f t="shared" si="2"/>
        <v/>
      </c>
    </row>
    <row r="47" spans="1:9">
      <c r="A47" s="45" t="str">
        <f t="shared" si="2"/>
        <v>10404</v>
      </c>
      <c r="B47" s="45" t="str">
        <f t="shared" si="2"/>
        <v>03.01.97</v>
      </c>
      <c r="C47" s="45" t="str">
        <f t="shared" si="2"/>
        <v>Magazzini Alimentari Riuniti</v>
      </c>
      <c r="D47" s="45" t="str">
        <f t="shared" si="2"/>
        <v>24100</v>
      </c>
      <c r="E47" s="45" t="str">
        <f t="shared" si="2"/>
        <v>Bergamo</v>
      </c>
      <c r="F47" s="45" t="str">
        <f t="shared" si="2"/>
        <v/>
      </c>
      <c r="G47" s="45" t="str">
        <f t="shared" si="2"/>
        <v/>
      </c>
      <c r="H47" s="45" t="str">
        <f t="shared" si="2"/>
        <v/>
      </c>
      <c r="I47" s="45" t="str">
        <f t="shared" si="2"/>
        <v/>
      </c>
    </row>
    <row r="48" spans="1:9">
      <c r="A48" s="45" t="str">
        <f t="shared" si="2"/>
        <v>10403</v>
      </c>
      <c r="B48" s="45" t="str">
        <f t="shared" si="2"/>
        <v>03.01.97</v>
      </c>
      <c r="C48" s="45" t="str">
        <f t="shared" si="2"/>
        <v>Ernst Handel</v>
      </c>
      <c r="D48" s="45" t="str">
        <f t="shared" si="2"/>
        <v>8010</v>
      </c>
      <c r="E48" s="45" t="str">
        <f t="shared" si="2"/>
        <v>Graz</v>
      </c>
      <c r="F48" s="45" t="str">
        <f t="shared" si="2"/>
        <v/>
      </c>
      <c r="G48" s="45" t="str">
        <f t="shared" si="2"/>
        <v/>
      </c>
      <c r="H48" s="45" t="str">
        <f t="shared" si="2"/>
        <v/>
      </c>
      <c r="I48" s="45" t="str">
        <f t="shared" si="2"/>
        <v/>
      </c>
    </row>
    <row r="49" spans="1:9">
      <c r="A49" s="45" t="str">
        <f t="shared" si="2"/>
        <v>10402</v>
      </c>
      <c r="B49" s="45" t="str">
        <f t="shared" si="2"/>
        <v>02.01.97</v>
      </c>
      <c r="C49" s="45" t="str">
        <f t="shared" si="2"/>
        <v>Ernst Handel</v>
      </c>
      <c r="D49" s="45" t="str">
        <f t="shared" si="2"/>
        <v>8010</v>
      </c>
      <c r="E49" s="45" t="str">
        <f t="shared" si="2"/>
        <v>Graz</v>
      </c>
      <c r="F49" s="45" t="str">
        <f t="shared" si="2"/>
        <v/>
      </c>
      <c r="G49" s="45" t="str">
        <f t="shared" si="2"/>
        <v/>
      </c>
      <c r="H49" s="45" t="str">
        <f t="shared" si="2"/>
        <v/>
      </c>
      <c r="I49" s="45" t="str">
        <f t="shared" si="2"/>
        <v/>
      </c>
    </row>
    <row r="50" spans="1:9">
      <c r="A50" s="45" t="str">
        <f t="shared" si="2"/>
        <v>10401</v>
      </c>
      <c r="B50" s="45" t="str">
        <f t="shared" si="2"/>
        <v>01.01.97</v>
      </c>
      <c r="C50" s="45" t="str">
        <f t="shared" si="2"/>
        <v>Rattlesnake Canyon Grocery</v>
      </c>
      <c r="D50" s="45" t="str">
        <f t="shared" si="2"/>
        <v>87110</v>
      </c>
      <c r="E50" s="45" t="str">
        <f t="shared" si="2"/>
        <v>Albuquerque</v>
      </c>
      <c r="F50" s="45" t="str">
        <f t="shared" si="2"/>
        <v/>
      </c>
      <c r="G50" s="45" t="str">
        <f t="shared" si="2"/>
        <v/>
      </c>
      <c r="H50" s="45" t="str">
        <f t="shared" si="2"/>
        <v/>
      </c>
      <c r="I50" s="45" t="str">
        <f t="shared" si="2"/>
        <v/>
      </c>
    </row>
    <row r="51" spans="1:9">
      <c r="A51" s="45" t="str">
        <f t="shared" si="2"/>
        <v>10400</v>
      </c>
      <c r="B51" s="45" t="str">
        <f t="shared" si="2"/>
        <v>01.01.97</v>
      </c>
      <c r="C51" s="45" t="str">
        <f t="shared" si="2"/>
        <v>Eastern Connection</v>
      </c>
      <c r="D51" s="45" t="str">
        <f t="shared" si="2"/>
        <v>WX3 6FW</v>
      </c>
      <c r="E51" s="45" t="str">
        <f t="shared" si="2"/>
        <v>London</v>
      </c>
      <c r="F51" s="45" t="str">
        <f t="shared" si="2"/>
        <v/>
      </c>
      <c r="G51" s="45" t="str">
        <f t="shared" si="2"/>
        <v/>
      </c>
      <c r="H51" s="45" t="str">
        <f t="shared" si="2"/>
        <v/>
      </c>
      <c r="I51" s="45" t="str">
        <f t="shared" si="2"/>
        <v/>
      </c>
    </row>
    <row r="52" spans="1:9">
      <c r="A52" s="45" t="str">
        <f t="shared" si="2"/>
        <v>10399</v>
      </c>
      <c r="B52" s="45" t="str">
        <f t="shared" si="2"/>
        <v>31.12.96</v>
      </c>
      <c r="C52" s="45" t="str">
        <f t="shared" si="2"/>
        <v>Vaffeljernet</v>
      </c>
      <c r="D52" s="45" t="str">
        <f t="shared" si="2"/>
        <v>8200</v>
      </c>
      <c r="E52" s="45" t="str">
        <f t="shared" si="2"/>
        <v>Århus</v>
      </c>
      <c r="F52" s="45" t="str">
        <f t="shared" si="2"/>
        <v/>
      </c>
      <c r="G52" s="45" t="str">
        <f t="shared" si="2"/>
        <v/>
      </c>
      <c r="H52" s="45" t="str">
        <f t="shared" si="2"/>
        <v/>
      </c>
      <c r="I52" s="45" t="str">
        <f t="shared" si="2"/>
        <v/>
      </c>
    </row>
    <row r="53" spans="1:9">
      <c r="A53" s="45" t="str">
        <f t="shared" si="2"/>
        <v>10398</v>
      </c>
      <c r="B53" s="45" t="str">
        <f t="shared" si="2"/>
        <v>30.12.96</v>
      </c>
      <c r="C53" s="45" t="str">
        <f t="shared" si="2"/>
        <v>Save-a-lot Markets</v>
      </c>
      <c r="D53" s="45" t="str">
        <f t="shared" si="2"/>
        <v>83720</v>
      </c>
      <c r="E53" s="45" t="str">
        <f t="shared" si="2"/>
        <v>Boise</v>
      </c>
      <c r="F53" s="45" t="str">
        <f t="shared" si="2"/>
        <v/>
      </c>
      <c r="G53" s="45" t="str">
        <f t="shared" si="2"/>
        <v/>
      </c>
      <c r="H53" s="45" t="str">
        <f t="shared" si="2"/>
        <v/>
      </c>
      <c r="I53" s="45" t="str">
        <f t="shared" si="2"/>
        <v/>
      </c>
    </row>
    <row r="54" spans="1:9">
      <c r="A54" s="45" t="str">
        <f t="shared" si="2"/>
        <v>10397</v>
      </c>
      <c r="B54" s="45" t="str">
        <f t="shared" si="2"/>
        <v>27.12.96</v>
      </c>
      <c r="C54" s="45" t="str">
        <f t="shared" si="2"/>
        <v>Princesa Isabel Vinhoss</v>
      </c>
      <c r="D54" s="45" t="str">
        <f t="shared" ref="D54:I54" si="3">relCell($P$1,ROW()-7,COLUMN(),0,1)</f>
        <v>1756</v>
      </c>
      <c r="E54" s="45" t="str">
        <f t="shared" si="3"/>
        <v>Lisboa</v>
      </c>
      <c r="F54" s="45" t="str">
        <f t="shared" si="3"/>
        <v/>
      </c>
      <c r="G54" s="45" t="str">
        <f t="shared" si="3"/>
        <v/>
      </c>
      <c r="H54" s="45" t="str">
        <f t="shared" si="3"/>
        <v/>
      </c>
      <c r="I54" s="45" t="str">
        <f t="shared" si="3"/>
        <v/>
      </c>
    </row>
    <row r="55" spans="1:9">
      <c r="A55" s="45"/>
      <c r="B55" s="45"/>
      <c r="C55" s="45"/>
      <c r="D55" s="45"/>
      <c r="E55" s="45"/>
      <c r="F55" s="45"/>
      <c r="G55" s="45"/>
      <c r="H55" s="45"/>
      <c r="I55" s="45"/>
    </row>
  </sheetData>
  <mergeCells count="1">
    <mergeCell ref="C1:I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I60"/>
  <sheetViews>
    <sheetView topLeftCell="A57" workbookViewId="0">
      <selection activeCell="F49" sqref="F49"/>
    </sheetView>
  </sheetViews>
  <sheetFormatPr baseColWidth="10" defaultRowHeight="14"/>
  <cols>
    <col min="1" max="1" width="30.6640625" customWidth="1"/>
    <col min="2" max="2" width="3.6640625" customWidth="1"/>
    <col min="3" max="3" width="3.1640625" customWidth="1"/>
    <col min="4" max="4" width="48.1640625" customWidth="1"/>
    <col min="5" max="5" width="4.33203125" customWidth="1"/>
    <col min="6" max="6" width="52.1640625" customWidth="1"/>
    <col min="7" max="7" width="26" customWidth="1"/>
    <col min="8" max="8" width="39.33203125" customWidth="1"/>
    <col min="9" max="9" width="6.33203125" customWidth="1"/>
  </cols>
  <sheetData>
    <row r="1" spans="1:9" ht="16">
      <c r="A1" s="24" t="s">
        <v>873</v>
      </c>
    </row>
    <row r="3" spans="1:9">
      <c r="A3" t="s">
        <v>874</v>
      </c>
    </row>
    <row r="5" spans="1:9">
      <c r="A5" t="s">
        <v>1154</v>
      </c>
    </row>
    <row r="7" spans="1:9" ht="16">
      <c r="A7" s="24" t="s">
        <v>782</v>
      </c>
      <c r="C7" s="24" t="s">
        <v>1113</v>
      </c>
      <c r="D7" s="24"/>
      <c r="F7" s="24" t="s">
        <v>784</v>
      </c>
      <c r="G7" s="24"/>
    </row>
    <row r="8" spans="1:9">
      <c r="C8" s="45" t="s">
        <v>875</v>
      </c>
      <c r="D8" s="45" t="s">
        <v>788</v>
      </c>
      <c r="F8" s="45" t="s">
        <v>876</v>
      </c>
      <c r="G8" s="45" t="s">
        <v>786</v>
      </c>
      <c r="H8" s="45" t="s">
        <v>787</v>
      </c>
      <c r="I8" s="45" t="s">
        <v>875</v>
      </c>
    </row>
    <row r="9" spans="1:9">
      <c r="C9" s="45">
        <v>1</v>
      </c>
      <c r="D9" s="45" t="s">
        <v>789</v>
      </c>
      <c r="F9" s="45">
        <v>1</v>
      </c>
      <c r="G9" s="45" t="s">
        <v>790</v>
      </c>
      <c r="H9" s="45">
        <v>240</v>
      </c>
      <c r="I9" s="45">
        <v>5</v>
      </c>
    </row>
    <row r="10" spans="1:9">
      <c r="C10" s="45">
        <v>2</v>
      </c>
      <c r="D10" s="45" t="s">
        <v>791</v>
      </c>
      <c r="F10" s="45">
        <v>2</v>
      </c>
      <c r="G10" s="45" t="s">
        <v>792</v>
      </c>
      <c r="H10" s="45">
        <v>120</v>
      </c>
      <c r="I10" s="45">
        <v>6</v>
      </c>
    </row>
    <row r="11" spans="1:9">
      <c r="C11" s="45">
        <v>3</v>
      </c>
      <c r="D11" s="45" t="s">
        <v>793</v>
      </c>
      <c r="F11" s="45">
        <v>3</v>
      </c>
      <c r="G11" s="45" t="s">
        <v>794</v>
      </c>
      <c r="H11" s="45">
        <v>150</v>
      </c>
      <c r="I11" s="45">
        <v>4</v>
      </c>
    </row>
    <row r="12" spans="1:9">
      <c r="C12" s="45">
        <v>4</v>
      </c>
      <c r="D12" s="45" t="s">
        <v>795</v>
      </c>
      <c r="F12" s="45">
        <v>4</v>
      </c>
      <c r="G12" s="45" t="s">
        <v>796</v>
      </c>
      <c r="H12" s="45">
        <v>5</v>
      </c>
      <c r="I12" s="45">
        <v>6</v>
      </c>
    </row>
    <row r="13" spans="1:9">
      <c r="C13" s="45">
        <v>5</v>
      </c>
      <c r="D13" s="45" t="s">
        <v>797</v>
      </c>
      <c r="F13" s="45">
        <v>5</v>
      </c>
      <c r="G13" s="45" t="s">
        <v>798</v>
      </c>
      <c r="H13" s="45">
        <v>240</v>
      </c>
      <c r="I13" s="45">
        <v>1</v>
      </c>
    </row>
    <row r="14" spans="1:9">
      <c r="C14" s="45">
        <v>6</v>
      </c>
      <c r="D14" s="45" t="s">
        <v>799</v>
      </c>
      <c r="F14" s="45">
        <v>6</v>
      </c>
      <c r="G14" s="45" t="s">
        <v>800</v>
      </c>
      <c r="H14" s="45">
        <v>180</v>
      </c>
      <c r="I14" s="45">
        <v>2</v>
      </c>
    </row>
    <row r="15" spans="1:9">
      <c r="F15" s="45">
        <v>7</v>
      </c>
      <c r="G15" s="45" t="s">
        <v>801</v>
      </c>
      <c r="H15" s="45">
        <v>90</v>
      </c>
      <c r="I15" s="45">
        <v>2</v>
      </c>
    </row>
    <row r="16" spans="1:9">
      <c r="F16" s="45">
        <v>8</v>
      </c>
      <c r="G16" s="45" t="s">
        <v>802</v>
      </c>
      <c r="H16" s="45">
        <v>270</v>
      </c>
      <c r="I16" s="45">
        <v>3</v>
      </c>
    </row>
    <row r="17" spans="1:9">
      <c r="F17" s="45">
        <v>9</v>
      </c>
      <c r="G17" s="45" t="s">
        <v>803</v>
      </c>
      <c r="H17" s="45">
        <v>66</v>
      </c>
      <c r="I17" s="45">
        <v>3</v>
      </c>
    </row>
    <row r="18" spans="1:9">
      <c r="F18" s="45">
        <v>10</v>
      </c>
      <c r="G18" s="45" t="s">
        <v>804</v>
      </c>
      <c r="H18" s="45">
        <v>180</v>
      </c>
      <c r="I18" s="45">
        <v>2</v>
      </c>
    </row>
    <row r="20" spans="1:9" ht="16">
      <c r="D20" s="33"/>
      <c r="E20" s="33"/>
      <c r="F20" s="33"/>
      <c r="G20" s="33"/>
    </row>
    <row r="22" spans="1:9" ht="17">
      <c r="D22" s="38" t="str">
        <f ca="1">_xlfn.FORMULATEXT(D23)</f>
        <v>=relFilter(productlist,"P name::price")</v>
      </c>
      <c r="F22" s="38" t="str">
        <f ca="1">_xlfn.FORMULATEXT(F23)</f>
        <v>=relSql("SELECT name, price FROM t1", productlist)</v>
      </c>
    </row>
    <row r="23" spans="1:9" ht="171" customHeight="1">
      <c r="A23" s="39" t="s">
        <v>877</v>
      </c>
      <c r="D23" s="19" t="str">
        <f>relFilter(productlist,"P name::price")</f>
        <v>name::price 
_x000D_Hard drive::240 
_x000D_Memory::120 
_x000D_ZIP drive::150 
_x000D_Floppy disk::5 
_x000D_Monitor::240 
_x000D_DVD drive::180 
_x000D_CD drive::90 
_x000D_Printer::270 
_x000D_Toner cartridge::66 
_x000D_DVD burner::180</v>
      </c>
      <c r="F23" s="19" t="str">
        <f>relSql("SELECT name, price FROM t1", productlist)</f>
        <v>name::price 
_x000D_Hard drive::240 
_x000D_Memory::120 
_x000D_ZIP drive::150 
_x000D_Floppy disk::5 
_x000D_Monitor::240 
_x000D_DVD drive::180 
_x000D_CD drive::90 
_x000D_Printer::270 
_x000D_Toner cartridge::66 
_x000D_DVD burner::180</v>
      </c>
    </row>
    <row r="25" spans="1:9" ht="34">
      <c r="D25" s="38" t="str">
        <f ca="1">_xlfn.FORMULATEXT(D26)</f>
        <v>=relFilter(productlist,"S %price&lt;=200","P name")</v>
      </c>
      <c r="F25" s="38" t="str">
        <f ca="1">_xlfn.FORMULATEXT(F26)</f>
        <v>=relSql("SELECT name FROM t1 WHERE price &lt;= 200",productlist)</v>
      </c>
    </row>
    <row r="26" spans="1:9" ht="121.5" customHeight="1">
      <c r="A26" s="39" t="s">
        <v>878</v>
      </c>
      <c r="D26" s="19" t="str">
        <f>relFilter(productlist,"S %price&lt;=200","P name")</f>
        <v>name 
_x000D_Memory 
_x000D_ZIP drive 
_x000D_Floppy disk 
_x000D_DVD drive 
_x000D_CD drive 
_x000D_Toner cartridge 
_x000D_DVD burner</v>
      </c>
      <c r="F26" s="19" t="str">
        <f>relSql("SELECT name FROM t1 WHERE price &lt;= 200",productlist)</f>
        <v>name 
_x000D_Memory 
_x000D_ZIP drive 
_x000D_Floppy disk 
_x000D_DVD drive 
_x000D_CD drive 
_x000D_Toner cartridge 
_x000D_DVD burner</v>
      </c>
    </row>
    <row r="28" spans="1:9" ht="34">
      <c r="D28" s="38" t="str">
        <f ca="1">_xlfn.FORMULATEXT(D29)</f>
        <v>=relFilter(productlist,"S AND(%price&gt;=60,%price&lt;=120)","P 2")</v>
      </c>
      <c r="F28" s="38" t="str">
        <f ca="1">_xlfn.FORMULATEXT(F29)</f>
        <v>=relSql("SELECT name FROM t1 WHERE price &gt;= 60 AND price &lt;= 120",productlist)</v>
      </c>
    </row>
    <row r="29" spans="1:9" ht="65.5" customHeight="1">
      <c r="A29" s="39" t="s">
        <v>879</v>
      </c>
      <c r="D29" s="19" t="str">
        <f>relFilter(productlist,"S AND(%price&gt;=60,%price&lt;=120)","P 2")</f>
        <v>name 
_x000D_Memory 
_x000D_CD drive 
_x000D_Toner cartridge</v>
      </c>
      <c r="F29" s="19" t="str">
        <f>relSql("SELECT name FROM t1 WHERE price &gt;= 60 AND price &lt;= 120",productlist)</f>
        <v>name 
_x000D_Memory 
_x000D_CD drive 
_x000D_Toner cartridge</v>
      </c>
    </row>
    <row r="30" spans="1:9">
      <c r="A30" t="s">
        <v>880</v>
      </c>
    </row>
    <row r="32" spans="1:9" ht="34">
      <c r="D32" s="38" t="str">
        <f ca="1">_xlfn.FORMULATEXT(D33)</f>
        <v>=relFilter(productlist,"E cents %price*100","P name::cents")</v>
      </c>
      <c r="F32" s="38" t="str">
        <f ca="1">_xlfn.FORMULATEXT(F33)</f>
        <v>=relSql("SELECT name, price * 100 AS cents FROM t1",productlist)</v>
      </c>
    </row>
    <row r="33" spans="1:8" ht="175" customHeight="1">
      <c r="A33" s="39" t="s">
        <v>881</v>
      </c>
      <c r="D33" s="19" t="str">
        <f>relFilter(productlist,"E cents %price*100","P name::cents")</f>
        <v>name::cents 
_x000D_Hard drive::24000 
_x000D_Memory::12000 
_x000D_ZIP drive::15000 
_x000D_Floppy disk::500 
_x000D_Monitor::24000 
_x000D_DVD drive::18000 
_x000D_CD drive::9000 
_x000D_Printer::27000 
_x000D_Toner cartridge::6600 
_x000D_DVD burner::18000</v>
      </c>
      <c r="F33" s="19" t="str">
        <f>relSql("SELECT name, price * 100 AS cents FROM t1",productlist)</f>
        <v>name::cents 
_x000D_Hard drive::24000 
_x000D_Memory::12000 
_x000D_ZIP drive::15000 
_x000D_Floppy disk::500 
_x000D_Monitor::24000 
_x000D_DVD drive::18000 
_x000D_CD drive::9000 
_x000D_Printer::27000 
_x000D_Toner cartridge::6600 
_x000D_DVD burner::18000</v>
      </c>
    </row>
    <row r="34" spans="1:8">
      <c r="H34" s="34"/>
    </row>
    <row r="35" spans="1:8" ht="34">
      <c r="A35" s="24"/>
      <c r="D35" s="24" t="str">
        <f ca="1">_xlfn.FORMULATEXT(D36)</f>
        <v>=relFilter(productlist, "P price AVG")</v>
      </c>
      <c r="F35" s="38" t="str">
        <f ca="1">_xlfn.FORMULATEXT(F36)</f>
        <v>=relSql("SELECT AVG(price) AS averageprice FROM t1",productlist)</v>
      </c>
    </row>
    <row r="36" spans="1:8" ht="33" customHeight="1">
      <c r="A36" s="48" t="s">
        <v>882</v>
      </c>
      <c r="D36" s="49" t="str">
        <f>relFilter(productlist, "P price AVG")</f>
        <v>price_avg 
_x000D_154.1</v>
      </c>
      <c r="F36" s="19" t="str">
        <f>relSql("SELECT AVG(price) AS averageprice FROM t1",productlist)</f>
        <v>averageprice 
_x000D_154.1</v>
      </c>
    </row>
    <row r="38" spans="1:8" ht="34">
      <c r="D38" s="24" t="str">
        <f ca="1">_xlfn.FORMULATEXT(D39)</f>
        <v>=relFilter(productlist,"S %manid=2","P price AVG")</v>
      </c>
      <c r="F38" s="38" t="str">
        <f ca="1">_xlfn.FORMULATEXT(F39)</f>
        <v>=relSql("SELECT AVG(price) AS averageprice FROM t1 WHERE manid = 2",productlist)</v>
      </c>
    </row>
    <row r="39" spans="1:8" ht="51">
      <c r="A39" s="48" t="s">
        <v>883</v>
      </c>
      <c r="D39" s="20" t="str">
        <f>relFilter(productlist,"S %manid=2","P price AVG")</f>
        <v>price_avg 
_x000D_150</v>
      </c>
      <c r="F39" s="19" t="str">
        <f>relSql("SELECT AVG(price) AS averageprice FROM t1 WHERE manid = 2",productlist)</f>
        <v>averageprice 
_x000D_150</v>
      </c>
    </row>
    <row r="41" spans="1:8" ht="34">
      <c r="D41" s="24" t="str">
        <f ca="1">_xlfn.FORMULATEXT(D42)</f>
        <v>=relFilter(productlist,"S %price&gt;=180","P itemid COUNT")</v>
      </c>
      <c r="F41" s="38" t="str">
        <f ca="1">_xlfn.FORMULATEXT(F42)</f>
        <v>=relSql("SELECT COUNT(itemid) AS items FROM t1 WHERE price &gt;= 180",productlist)</v>
      </c>
    </row>
    <row r="42" spans="1:8" ht="51">
      <c r="A42" s="48" t="s">
        <v>884</v>
      </c>
      <c r="D42" s="37" t="str">
        <f>relFilter(productlist,"S %price&gt;=180","P itemid COUNT")</f>
        <v>itemid_count 
_x000D_5</v>
      </c>
      <c r="F42" s="19" t="str">
        <f>relSql("SELECT COUNT(itemid) AS items FROM t1 WHERE price &gt;= 180",productlist)</f>
        <v>items 
_x000D_5</v>
      </c>
    </row>
    <row r="44" spans="1:8" ht="16">
      <c r="A44" s="24"/>
    </row>
    <row r="45" spans="1:8" ht="34">
      <c r="A45" s="24"/>
      <c r="D45" s="38" t="str">
        <f ca="1">_xlfn.FORMULATEXT(D46)</f>
        <v>=relFilter(productlist,"S %price&gt;=180","P name::price","O price 9::name A")</v>
      </c>
      <c r="F45" s="38" t="str">
        <f ca="1">_xlfn.FORMULATEXT(F46)</f>
        <v>=relSql("SELECT name, price FROM t1 WHERE price &gt;= 180 ORDER BY price DESC, name", productlist)</v>
      </c>
    </row>
    <row r="46" spans="1:8" ht="86" customHeight="1">
      <c r="A46" s="39" t="s">
        <v>885</v>
      </c>
      <c r="D46" s="35" t="str">
        <f>relFilter(productlist,"S %price&gt;=180","P name::price","O price 9::name A")</f>
        <v>name::price 
_x000D_Printer::270 
_x000D_Hard drive::240 
_x000D_Monitor::240 
_x000D_DVD burner::180 
_x000D_DVD drive::180</v>
      </c>
      <c r="F46" s="35" t="str">
        <f>relSql("SELECT name, price FROM t1 WHERE price &gt;= 180 ORDER BY price DESC, name", productlist)</f>
        <v>name::price 
_x000D_Printer::270 
_x000D_Hard drive::240 
_x000D_Monitor::240 
_x000D_DVD burner::180 
_x000D_DVD drive::180</v>
      </c>
    </row>
    <row r="48" spans="1:8" ht="34">
      <c r="D48" s="38" t="str">
        <f ca="1">_xlfn.FORMULATEXT(D49)</f>
        <v>=relFilter(manufacturerlist,productlist,"J NATURAL","P itemid::name::price::manid::manufacturer")</v>
      </c>
      <c r="F48" s="38" t="str">
        <f ca="1">_xlfn.FORMULATEXT(F49)</f>
        <v>=relSql("SELECT * FROM t1 NATURAL JOIN t2", productlist, manufacturerlist)</v>
      </c>
    </row>
    <row r="49" spans="1:9" ht="162.5" customHeight="1">
      <c r="A49" s="39" t="s">
        <v>886</v>
      </c>
      <c r="D49" s="19" t="str">
        <f>relFilter(manufacturerlist,productlist,"J NATURAL","P itemid::name::price::manid::manufacturer")</f>
        <v>itemid::name::price::manid::manufacturer 
5::Monitor::240::1::Sony 
6::DVD drive::180::2::Creative Labs 
7::CD drive::90::2::Creative Labs 
10::DVD burner::180::2::Creative Labs 
8::Printer::270::3::Hewlett Packard 
9::Toner cartridge::66::3::Hewlett Packard 
3::ZIP drive::150::4::Iomega 
1::Hard drive::240::5::Fujitsu 
2::Memory::120::6::Winchester 
4::Floppy disk::5::6::Winchester</v>
      </c>
      <c r="F49" s="35" t="str">
        <f>relSql("SELECT * FROM t1 NATURAL JOIN t2", productlist, manufacturerlist)</f>
        <v>manid::itemid::name::price::manufacturer 
5::1::Hard drive::240::Fujitsu 
6::2::Memory::120::Winchester 
4::3::ZIP drive::150::Iomega 
6::4::Floppy disk::5::Winchester 
1::5::Monitor::240::Sony 
2::6::DVD drive::180::Creative Labs 
2::7::CD drive::90::Creative Labs 
3::8::Printer::270::Hewlett Packard 
3::9::Toner cartridge::66::Hewlett Packard 
2::10::DVD burner::180::Creative Labs</v>
      </c>
    </row>
    <row r="51" spans="1:9" ht="34">
      <c r="D51" s="24" t="str">
        <f ca="1">_xlfn.FORMULATEXT(D52)</f>
        <v>=relFilter(productlist,"P manid::price AVG")</v>
      </c>
      <c r="F51" s="38" t="str">
        <f ca="1">_xlfn.FORMULATEXT(F52)</f>
        <v>=relSql("SELECT manid, AVG(price) AS averageprice FROM t1", productlist)</v>
      </c>
    </row>
    <row r="52" spans="1:9" ht="109.5" customHeight="1">
      <c r="A52" s="39" t="s">
        <v>887</v>
      </c>
      <c r="D52" s="19" t="str">
        <f>relFilter(productlist,"P manid::price AVG")</f>
        <v>manid::price_avg 
_x000D_5::240 
_x000D_4::150 
_x000D_6::62.5 
_x000D_1::240 
_x000D_3::168 
_x000D_2::150</v>
      </c>
      <c r="F52" s="19" t="str">
        <f>relSql("SELECT manid, AVG(price) AS averageprice FROM t1", productlist)</f>
        <v>manid::averageprice 
_x000D_5::240 
_x000D_4::150 
_x000D_6::62.5 
_x000D_1::240 
_x000D_3::168 
_x000D_2::150</v>
      </c>
    </row>
    <row r="53" spans="1:9" ht="34">
      <c r="A53" s="24"/>
      <c r="D53" s="38" t="str">
        <f ca="1">_xlfn.FORMULATEXT(D54)</f>
        <v>=relFilter(manufacturerlist, productlist, "J NATURAL", "P manufacturer::price AVG")</v>
      </c>
      <c r="F53" s="38" t="str">
        <f ca="1">_xlfn.FORMULATEXT(F54)</f>
        <v>=relSql("SELECT manufacturer, AVG(price) AS averageprice FROM t1 NATURAL JOIN t2",manufacturerlist,productlist)</v>
      </c>
    </row>
    <row r="54" spans="1:9" ht="112" customHeight="1">
      <c r="A54" s="39" t="s">
        <v>888</v>
      </c>
      <c r="D54" s="35" t="str">
        <f>relFilter(manufacturerlist, productlist, "J NATURAL", "P manufacturer::price AVG")</f>
        <v>manufacturer::price_avg 
_x000D_Sony::240 
_x000D_Creative Labs::150 
_x000D_Hewlett Packard::168 
_x000D_Iomega::150 
_x000D_Fujitsu::240 
_x000D_Winchester::62.5</v>
      </c>
      <c r="F54" s="19" t="str">
        <f>relSql("SELECT manufacturer, AVG(price) AS averageprice FROM t1 NATURAL JOIN t2",manufacturerlist,productlist)</f>
        <v>manufacturer::averageprice 
_x000D_Sony::240 
_x000D_Creative Labs::150 
_x000D_Hewlett Packard::168 
_x000D_Iomega::150 
_x000D_Fujitsu::240 
_x000D_Winchester::62.5</v>
      </c>
      <c r="H54" s="19"/>
    </row>
    <row r="55" spans="1:9" ht="68">
      <c r="A55" s="24"/>
      <c r="D55" s="38" t="str">
        <f ca="1">_xlfn.FORMULATEXT(D56)</f>
        <v>=relFilter(productlist,"P manid::price AVG","S %price_avg&gt;=150","P manid",manufacturerlist,"J NATURAL","P manufacturer")</v>
      </c>
      <c r="F55" s="38" t="str">
        <f ca="1">_xlfn.FORMULATEXT(F56)</f>
        <v>=relSql("SELECT manufacturer FROM t1", relSql("SELECT manufacturer, AVG(price) AS averageprice FROM t1 NATURAL JOIN t2 HAVING averageprice &gt;= 150",productlist,manufacturerlist))</v>
      </c>
      <c r="H55" s="23"/>
    </row>
    <row r="56" spans="1:9" ht="179.25" customHeight="1">
      <c r="A56" s="39" t="s">
        <v>889</v>
      </c>
      <c r="D56" s="35" t="str">
        <f>relFilter(productlist,"P manid::price AVG","S %price_avg&gt;=150","P manid",manufacturerlist,"J NATURAL","P manufacturer")</f>
        <v>manufacturer 
_x000D_Fujitsu 
_x000D_Iomega 
_x000D_Sony 
_x000D_Hewlett Packard 
_x000D_Creative Labs</v>
      </c>
      <c r="F56" s="35" t="str">
        <f>relSql("SELECT manufacturer FROM t1", relSql("SELECT manufacturer, AVG(price) AS averageprice FROM t1 NATURAL JOIN t2 HAVING averageprice &gt;= 150",productlist,manufacturerlist))</f>
        <v>manufacturer 
_x000D_Fujitsu 
_x000D_Iomega 
_x000D_Sony 
_x000D_Hewlett Packard 
_x000D_Creative Labs</v>
      </c>
      <c r="G56" s="58" t="s">
        <v>1168</v>
      </c>
      <c r="H56" s="19"/>
    </row>
    <row r="57" spans="1:9" ht="47.25" customHeight="1">
      <c r="A57" s="38" t="s">
        <v>890</v>
      </c>
      <c r="D57" s="38" t="str">
        <f ca="1">_xlfn.FORMULATEXT(D58)</f>
        <v>=relFilter(productlist,"P price MIN","R price_min price",productlist,"J NATURAL","P name::price")</v>
      </c>
      <c r="F57" s="38" t="str">
        <f ca="1">_xlfn.FORMULATEXT(F58)</f>
        <v>=relSql("SELECT name, price FROM t1 NATURAL JOIN t2", productlist, relSql("SELECT MIN(price) AS price FROM t1",productlist))</v>
      </c>
    </row>
    <row r="58" spans="1:9" ht="64" customHeight="1">
      <c r="A58" s="39" t="s">
        <v>890</v>
      </c>
      <c r="D58" s="19" t="str">
        <f>relFilter(productlist,"P price MIN","R price_min price",productlist,"J NATURAL","P name::price")</f>
        <v>name::price 
_x000D_Floppy disk::5</v>
      </c>
      <c r="F58" s="35" t="str">
        <f>relSql("SELECT name, price FROM t1 NATURAL JOIN t2", productlist, relSql("SELECT MIN(price) AS price FROM t1",productlist))</f>
        <v>name::price 
_x000D_Floppy disk::5</v>
      </c>
      <c r="G58" s="58" t="s">
        <v>1168</v>
      </c>
      <c r="H58" s="28">
        <v>5</v>
      </c>
    </row>
    <row r="59" spans="1:9" ht="68">
      <c r="D59" s="38" t="str">
        <f ca="1">_xlfn.FORMULATEXT(D60)</f>
        <v>=relFilter(productlist,"P manid::price MAX",productlist,"J NATURAL","S %price=%price_max",manufacturerlist,"J NATURAL","P manufacturer::name::price","O manufacturer")</v>
      </c>
      <c r="F59" s="38" t="str">
        <f ca="1">_xlfn.FORMULATEXT(F60)</f>
        <v>=relSql("SELECT manufacturer, name, price FROM t1 NATURAL JOIN t2 NATURAL JOIN t3 ORDER BY manufacturer",productlist,manufacturerlist,relSql("SELECT manid, MAX(price) AS price FROM t1",productlist))</v>
      </c>
      <c r="H59" s="24"/>
      <c r="I59" s="24"/>
    </row>
    <row r="60" spans="1:9" ht="155" customHeight="1">
      <c r="A60" s="39" t="s">
        <v>891</v>
      </c>
      <c r="D60" s="35" t="str">
        <f>relFilter(productlist,"P manid::price MAX",productlist,"J NATURAL","S %price=%price_max",manufacturerlist,"J NATURAL","P manufacturer::name::price","O manufacturer")</f>
        <v>manufacturer::name::price 
_x000D_Creative Labs::DVD drive::180 
_x000D_Creative Labs::DVD burner::180 
_x000D_Fujitsu::Hard drive::240 
_x000D_Hewlett Packard::Printer::270 
_x000D_Iomega::ZIP drive::150 
_x000D_Sony::Monitor::240 
_x000D_Winchester::Memory::120</v>
      </c>
      <c r="F60" s="35" t="str">
        <f>relSql("SELECT manufacturer, name, price FROM t1 NATURAL JOIN t2 NATURAL JOIN t3 ORDER BY manufacturer",productlist,manufacturerlist,relSql("SELECT manid, MAX(price) AS price FROM t1",productlist))</f>
        <v>manufacturer::name::price 
_x000D_Creative Labs::DVD drive::180 
_x000D_Creative Labs::DVD burner::180 
_x000D_Fujitsu::Hard drive::240 
_x000D_Hewlett Packard::Printer::270 
_x000D_Iomega::ZIP drive::150 
_x000D_Sony::Monitor::240 
_x000D_Winchester::Memory::120</v>
      </c>
      <c r="G60" s="58" t="s">
        <v>1168</v>
      </c>
      <c r="H60" s="19"/>
      <c r="I60" s="19"/>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J49"/>
  <sheetViews>
    <sheetView topLeftCell="A34" workbookViewId="0">
      <selection activeCell="D49" sqref="D49"/>
    </sheetView>
  </sheetViews>
  <sheetFormatPr baseColWidth="10" defaultRowHeight="14"/>
  <cols>
    <col min="1" max="1" width="23.5" customWidth="1"/>
    <col min="4" max="4" width="47.83203125" customWidth="1"/>
    <col min="5" max="5" width="11.1640625" customWidth="1"/>
    <col min="6" max="6" width="44.6640625" customWidth="1"/>
    <col min="7" max="7" width="29.6640625" customWidth="1"/>
    <col min="8" max="8" width="54.6640625" customWidth="1"/>
  </cols>
  <sheetData>
    <row r="1" spans="1:10" ht="16">
      <c r="A1" s="36" t="s">
        <v>873</v>
      </c>
      <c r="B1" s="36"/>
      <c r="C1" s="25"/>
      <c r="D1" s="25"/>
      <c r="E1" s="25"/>
      <c r="F1" s="25"/>
      <c r="G1" s="25"/>
      <c r="H1" s="25"/>
      <c r="I1" s="25"/>
      <c r="J1" s="25"/>
    </row>
    <row r="2" spans="1:10" ht="16">
      <c r="A2" s="25"/>
      <c r="B2" s="25"/>
      <c r="C2" s="25"/>
      <c r="D2" s="25"/>
      <c r="E2" s="25"/>
      <c r="F2" s="25"/>
      <c r="G2" s="25"/>
      <c r="H2" s="25"/>
      <c r="I2" s="25"/>
      <c r="J2" s="25"/>
    </row>
    <row r="3" spans="1:10" ht="16">
      <c r="A3" s="25" t="s">
        <v>892</v>
      </c>
      <c r="B3" s="25"/>
      <c r="C3" s="25"/>
      <c r="D3" s="25"/>
      <c r="E3" s="25"/>
      <c r="F3" s="25"/>
      <c r="G3" s="25"/>
      <c r="H3" s="25"/>
      <c r="I3" s="25"/>
      <c r="J3" s="25"/>
    </row>
    <row r="4" spans="1:10" ht="16">
      <c r="A4" s="25"/>
      <c r="B4" s="25"/>
      <c r="C4" s="25"/>
      <c r="D4" s="25"/>
      <c r="E4" s="25"/>
      <c r="F4" s="25"/>
      <c r="G4" s="25"/>
      <c r="H4" s="25"/>
      <c r="I4" s="25"/>
      <c r="J4" s="25"/>
    </row>
    <row r="5" spans="1:10">
      <c r="A5" t="s">
        <v>1154</v>
      </c>
    </row>
    <row r="6" spans="1:10" ht="16">
      <c r="A6" s="25"/>
      <c r="B6" s="25"/>
      <c r="C6" s="25"/>
      <c r="D6" s="25"/>
      <c r="E6" s="25"/>
      <c r="F6" s="25"/>
      <c r="G6" s="25"/>
      <c r="H6" s="25"/>
      <c r="I6" s="25"/>
      <c r="J6" s="25"/>
    </row>
    <row r="7" spans="1:10" ht="16">
      <c r="A7" s="36" t="s">
        <v>782</v>
      </c>
      <c r="B7" s="25"/>
      <c r="C7" s="36" t="s">
        <v>1155</v>
      </c>
      <c r="D7" s="36"/>
      <c r="F7" s="25"/>
      <c r="G7" s="36" t="s">
        <v>1156</v>
      </c>
      <c r="H7" s="36"/>
      <c r="I7" s="25"/>
      <c r="J7" s="25"/>
    </row>
    <row r="8" spans="1:10">
      <c r="C8" s="45" t="s">
        <v>893</v>
      </c>
      <c r="D8" s="45" t="s">
        <v>894</v>
      </c>
      <c r="E8" s="45" t="s">
        <v>895</v>
      </c>
      <c r="G8" s="45" t="s">
        <v>896</v>
      </c>
      <c r="H8" s="45" t="s">
        <v>786</v>
      </c>
      <c r="I8" s="45" t="s">
        <v>897</v>
      </c>
      <c r="J8" s="45" t="s">
        <v>893</v>
      </c>
    </row>
    <row r="9" spans="1:10">
      <c r="C9" s="45">
        <v>14</v>
      </c>
      <c r="D9" s="45" t="s">
        <v>898</v>
      </c>
      <c r="E9" s="45">
        <v>65000</v>
      </c>
      <c r="G9" s="45">
        <v>123234877</v>
      </c>
      <c r="H9" s="45" t="s">
        <v>757</v>
      </c>
      <c r="I9" s="45" t="s">
        <v>899</v>
      </c>
      <c r="J9" s="45">
        <v>14</v>
      </c>
    </row>
    <row r="10" spans="1:10">
      <c r="C10" s="45">
        <v>37</v>
      </c>
      <c r="D10" s="45" t="s">
        <v>900</v>
      </c>
      <c r="E10" s="45">
        <v>15000</v>
      </c>
      <c r="G10" s="45">
        <v>152934485</v>
      </c>
      <c r="H10" s="45" t="s">
        <v>901</v>
      </c>
      <c r="I10" s="45" t="s">
        <v>902</v>
      </c>
      <c r="J10" s="45">
        <v>14</v>
      </c>
    </row>
    <row r="11" spans="1:10">
      <c r="C11" s="45">
        <v>59</v>
      </c>
      <c r="D11" s="45" t="s">
        <v>903</v>
      </c>
      <c r="E11" s="45">
        <v>240000</v>
      </c>
      <c r="G11" s="45">
        <v>222364883</v>
      </c>
      <c r="H11" s="45" t="s">
        <v>904</v>
      </c>
      <c r="I11" s="45" t="s">
        <v>905</v>
      </c>
      <c r="J11" s="45">
        <v>37</v>
      </c>
    </row>
    <row r="12" spans="1:10">
      <c r="C12" s="45">
        <v>77</v>
      </c>
      <c r="D12" s="45" t="s">
        <v>906</v>
      </c>
      <c r="E12" s="45">
        <v>55000</v>
      </c>
      <c r="G12" s="45">
        <v>326587417</v>
      </c>
      <c r="H12" s="45" t="s">
        <v>907</v>
      </c>
      <c r="I12" s="45" t="s">
        <v>908</v>
      </c>
      <c r="J12" s="45">
        <v>37</v>
      </c>
    </row>
    <row r="13" spans="1:10">
      <c r="G13" s="45">
        <v>332154719</v>
      </c>
      <c r="H13" s="45" t="s">
        <v>909</v>
      </c>
      <c r="I13" s="45" t="s">
        <v>910</v>
      </c>
      <c r="J13" s="45">
        <v>14</v>
      </c>
    </row>
    <row r="14" spans="1:10">
      <c r="G14" s="45">
        <v>332569843</v>
      </c>
      <c r="H14" s="45" t="s">
        <v>911</v>
      </c>
      <c r="I14" s="45" t="s">
        <v>912</v>
      </c>
      <c r="J14" s="45">
        <v>77</v>
      </c>
    </row>
    <row r="15" spans="1:10">
      <c r="G15" s="45">
        <v>546523478</v>
      </c>
      <c r="H15" s="45" t="s">
        <v>913</v>
      </c>
      <c r="I15" s="45" t="s">
        <v>914</v>
      </c>
      <c r="J15" s="45">
        <v>59</v>
      </c>
    </row>
    <row r="16" spans="1:10">
      <c r="G16" s="45">
        <v>631231482</v>
      </c>
      <c r="H16" s="45" t="s">
        <v>915</v>
      </c>
      <c r="I16" s="45" t="s">
        <v>905</v>
      </c>
      <c r="J16" s="45">
        <v>77</v>
      </c>
    </row>
    <row r="17" spans="1:10">
      <c r="G17" s="45">
        <v>654873219</v>
      </c>
      <c r="H17" s="45" t="s">
        <v>916</v>
      </c>
      <c r="I17" s="45" t="s">
        <v>917</v>
      </c>
      <c r="J17" s="45">
        <v>59</v>
      </c>
    </row>
    <row r="18" spans="1:10">
      <c r="G18" s="45">
        <v>745685214</v>
      </c>
      <c r="H18" s="45" t="s">
        <v>918</v>
      </c>
      <c r="I18" s="45" t="s">
        <v>919</v>
      </c>
      <c r="J18" s="45">
        <v>59</v>
      </c>
    </row>
    <row r="19" spans="1:10">
      <c r="G19" s="45">
        <v>845657245</v>
      </c>
      <c r="H19" s="45" t="s">
        <v>920</v>
      </c>
      <c r="I19" s="45" t="s">
        <v>914</v>
      </c>
      <c r="J19" s="45">
        <v>14</v>
      </c>
    </row>
    <row r="20" spans="1:10">
      <c r="G20" s="45">
        <v>845657246</v>
      </c>
      <c r="H20" s="45" t="s">
        <v>921</v>
      </c>
      <c r="I20" s="45" t="s">
        <v>922</v>
      </c>
      <c r="J20" s="45">
        <v>14</v>
      </c>
    </row>
    <row r="22" spans="1:10" ht="16">
      <c r="D22" s="24" t="str">
        <f ca="1">_xlfn.FORMULATEXT(D23)</f>
        <v>=relFilter(employeelist,"P lastname")</v>
      </c>
      <c r="F22" s="24" t="str">
        <f ca="1">_xlfn.FORMULATEXT(F23)</f>
        <v>=relSql("SELECT lastname FROM t1",employeelist)</v>
      </c>
    </row>
    <row r="23" spans="1:10" ht="184" customHeight="1">
      <c r="A23" s="39" t="s">
        <v>923</v>
      </c>
      <c r="D23" s="27" t="str">
        <f>relFilter(employeelist,"P lastname")</f>
        <v>lastname 
_x000D_Rogers 
_x000D_Manikutty 
_x000D_Stevens 
_x000D_Foster 
_x000D_ODonnell 
_x000D_Smith 
_x000D_Efron 
_x000D_Goldsmith 
_x000D_Doe 
_x000D_Swamy</v>
      </c>
      <c r="F23" s="27" t="str">
        <f>relSql("SELECT lastname FROM t1",employeelist)</f>
        <v>lastname 
_x000D_Rogers 
_x000D_Manikutty 
_x000D_Stevens 
_x000D_Foster 
_x000D_ODonnell 
_x000D_Smith 
_x000D_Efron 
_x000D_Goldsmith 
_x000D_Doe 
_x000D_Swamy</v>
      </c>
    </row>
    <row r="24" spans="1:10" ht="34">
      <c r="A24" s="24"/>
      <c r="D24" s="38" t="str">
        <f ca="1">_xlfn.FORMULATEXT(D25)</f>
        <v>=relFilter(employeelist,"S OR($lastname=""Smith"", $lastname=""Doe"")")</v>
      </c>
      <c r="F24" s="38" t="str">
        <f ca="1">_xlfn.FORMULATEXT(F25)</f>
        <v>=relSql("SELECT * FROM t1 WHERE lastname IN ('Smith','Doe')",employeelist)</v>
      </c>
    </row>
    <row r="25" spans="1:10" ht="92" customHeight="1">
      <c r="A25" s="39" t="s">
        <v>924</v>
      </c>
      <c r="D25" s="19" t="str">
        <f>relFilter(employeelist,"S OR($lastname=""Smith"", $lastname=""Doe"")")</f>
        <v>ssn::name::lastname::depid 
_x000D_222364883::Carol::Smith::37 
_x000D_546523478::John::Doe::59 
_x000D_631231482::David::Smith::77 
_x000D_845657245::Elizabeth::Doe::14</v>
      </c>
      <c r="F25" s="19" t="str">
        <f>relSql("SELECT * FROM t1 WHERE lastname IN ('Smith','Doe')",employeelist)</f>
        <v>ssn::name::lastname::depid 
_x000D_222364883::Carol::Smith::37 
_x000D_546523478::John::Doe::59 
_x000D_631231482::David::Smith::77 
_x000D_845657245::Elizabeth::Doe::14</v>
      </c>
    </row>
    <row r="26" spans="1:10">
      <c r="A26" s="50"/>
    </row>
    <row r="27" spans="1:10" ht="34">
      <c r="A27" s="50"/>
      <c r="D27" s="24" t="str">
        <f ca="1">_xlfn.FORMULATEXT(D28)</f>
        <v>=relFilter(employeelist,"S %depid=14")</v>
      </c>
      <c r="F27" s="38" t="str">
        <f ca="1">_xlfn.FORMULATEXT(F28)</f>
        <v>=relSql("SELECT * FROM t1 WHERE depid = 14'",employeelist)</v>
      </c>
    </row>
    <row r="28" spans="1:10" ht="96" customHeight="1">
      <c r="A28" s="39" t="s">
        <v>925</v>
      </c>
      <c r="D28" s="19" t="str">
        <f>relFilter(employeelist,"S %depid=14")</f>
        <v>ssn::name::lastname::depid 
_x000D_123234877::Michael::Rogers::14 
_x000D_152934485::Anand::Manikutty::14 
_x000D_332154719::Mary-Anne::Foster::14 
_x000D_845657245::Elizabeth::Doe::14 
_x000D_845657246::Kumar::Swamy::14</v>
      </c>
      <c r="F28" s="19" t="str">
        <f>relSql("SELECT * FROM t1 WHERE depid = 14'",employeelist)</f>
        <v>ssn::name::lastname::depid 
_x000D_123234877::Michael::Rogers::14 
_x000D_152934485::Anand::Manikutty::14 
_x000D_332154719::Mary-Anne::Foster::14 
_x000D_845657245::Elizabeth::Doe::14 
_x000D_845657246::Kumar::Swamy::14</v>
      </c>
    </row>
    <row r="29" spans="1:10" ht="34">
      <c r="A29" s="50"/>
      <c r="D29" s="24" t="str">
        <f ca="1">_xlfn.FORMULATEXT(D30)</f>
        <v>=relFilter(employeelist,"S OR(%depid=37,%depid=77)")</v>
      </c>
      <c r="F29" s="38" t="str">
        <f ca="1">_xlfn.FORMULATEXT(F30)</f>
        <v>=relSql("SELECT * FROM t1 WHERE depid IN (37,77)'",employeelist)</v>
      </c>
    </row>
    <row r="30" spans="1:10" ht="84" customHeight="1">
      <c r="A30" s="39" t="s">
        <v>926</v>
      </c>
      <c r="D30" s="19" t="str">
        <f>relFilter(employeelist,"S OR(%depid=37,%depid=77)")</f>
        <v>ssn::name::lastname::depid 
_x000D_222364883::Carol::Smith::37 
_x000D_326587417::Joe::Stevens::37 
_x000D_332569843::George::ODonnell::77 
_x000D_631231482::David::Smith::77</v>
      </c>
      <c r="F30" s="19" t="str">
        <f>relSql("SELECT * FROM t1 WHERE depid IN (37,77)'",employeelist)</f>
        <v>ssn::name::lastname::depid 
_x000D_222364883::Carol::Smith::37 
_x000D_326587417::Joe::Stevens::37 
_x000D_332569843::George::ODonnell::77 
_x000D_631231482::David::Smith::77</v>
      </c>
    </row>
    <row r="31" spans="1:10" ht="34">
      <c r="A31" s="50"/>
      <c r="D31" s="24" t="str">
        <f ca="1">_xlfn.FORMULATEXT(D32)</f>
        <v>=relFilter(employeelist,"S LEFT($lastname,1)=""S""")</v>
      </c>
      <c r="F31" s="38" t="str">
        <f ca="1">_xlfn.FORMULATEXT(F32)</f>
        <v>=relSql("SELECT * FROM t1 WHERE lastname LIKE 'S%' ",employeelist)</v>
      </c>
    </row>
    <row r="32" spans="1:10" ht="85.25" customHeight="1">
      <c r="A32" s="39" t="s">
        <v>927</v>
      </c>
      <c r="D32" s="19" t="str">
        <f>relFilter(employeelist,"S LEFT($lastname,1)=""S""")</f>
        <v>ssn::name::lastname::depid 
_x000D_222364883::Carol::Smith::37 
_x000D_326587417::Joe::Stevens::37 
_x000D_631231482::David::Smith::77 
_x000D_845657246::Kumar::Swamy::14</v>
      </c>
      <c r="F32" s="19" t="str">
        <f>relSql("SELECT * FROM t1 WHERE lastname LIKE 'S%' ",employeelist)</f>
        <v>ssn::name::lastname::depid 
_x000D_222364883::Carol::Smith::37 
_x000D_326587417::Joe::Stevens::37 
_x000D_631231482::David::Smith::77 
_x000D_845657246::Kumar::Swamy::14</v>
      </c>
    </row>
    <row r="33" spans="1:7" ht="34">
      <c r="A33" s="50"/>
      <c r="D33" s="24" t="str">
        <f ca="1">_xlfn.FORMULATEXT(D34)</f>
        <v>=relFilter(departmentlist,"P budget SUM")</v>
      </c>
      <c r="F33" s="38" t="str">
        <f ca="1">_xlfn.FORMULATEXT(F34)</f>
        <v>=relSql("SELECT SUM(budget) AS totalbudget FROM t1",departmentlist)</v>
      </c>
    </row>
    <row r="34" spans="1:7" ht="34">
      <c r="A34" s="39" t="s">
        <v>928</v>
      </c>
      <c r="D34" s="20" t="str">
        <f>relFilter(departmentlist,"P budget SUM")</f>
        <v>budget_sum 
_x000D_375000</v>
      </c>
      <c r="F34" s="20" t="str">
        <f>relSql("SELECT SUM(budget) AS totalbudget FROM t1",departmentlist)</f>
        <v>totalbudget 
_x000D_375000</v>
      </c>
    </row>
    <row r="36" spans="1:7" ht="34">
      <c r="A36" s="50"/>
      <c r="D36" s="24" t="str">
        <f ca="1">_xlfn.FORMULATEXT(D37)</f>
        <v>=relFilter(employeelist,"P depid::ssn COUNT")</v>
      </c>
      <c r="F36" s="38" t="str">
        <f ca="1">_xlfn.FORMULATEXT(F37)</f>
        <v>=relSql("SELECT depid, COUNT(ssn) AS number FROM t1",employeelist)</v>
      </c>
    </row>
    <row r="37" spans="1:7" ht="102">
      <c r="A37" s="39" t="s">
        <v>929</v>
      </c>
      <c r="D37" s="35" t="str">
        <f>relFilter(employeelist,"P depid::ssn COUNT")</f>
        <v>depid::ssn_count 
_x000D_37::2 
_x000D_77::2 
_x000D_59::3 
_x000D_14::5</v>
      </c>
      <c r="F37" s="19" t="str">
        <f>relSql("SELECT depid, COUNT(ssn) AS number FROM t1",employeelist)</f>
        <v>depid::number 
_x000D_37::2 
_x000D_77::2 
_x000D_59::3 
_x000D_14::5</v>
      </c>
    </row>
    <row r="38" spans="1:7" ht="34">
      <c r="A38" s="50"/>
      <c r="D38" s="38" t="str">
        <f ca="1">_xlfn.FORMULATEXT(D39)</f>
        <v>=relFilter(employeelist,departmentlist,"J NATURAL")</v>
      </c>
      <c r="F38" s="38" t="str">
        <f ca="1">_xlfn.FORMULATEXT(F39)</f>
        <v>=relSql("SELECT * FROM t1 NATURAL JOIN t2",employeelist,departmentlist)</v>
      </c>
    </row>
    <row r="39" spans="1:7" ht="208.25" customHeight="1">
      <c r="A39" s="39" t="s">
        <v>930</v>
      </c>
      <c r="D39" s="19" t="str">
        <f>relFilter(employeelist,departmentlist,"J NATURAL")</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c r="F39" s="19" t="str">
        <f>relSql("SELECT * FROM t1 NATURAL JOIN t2",employeelist,departmentlist)</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row>
    <row r="40" spans="1:7" ht="34">
      <c r="A40" s="50"/>
      <c r="D40" s="24" t="str">
        <f ca="1">_xlfn.FORMULATEXT(D41)</f>
        <v>=relFilter(D39,"P name::lastname::department::budget")</v>
      </c>
      <c r="F40" s="38" t="str">
        <f ca="1">_xlfn.FORMULATEXT(F41)</f>
        <v>=relSql("SELECT name, lastname, department, budget FROM t1",F39)</v>
      </c>
    </row>
    <row r="41" spans="1:7" ht="195.5" customHeight="1">
      <c r="A41" s="39" t="s">
        <v>931</v>
      </c>
      <c r="D41" s="19" t="str">
        <f>relFilter(D39,"P name::lastname::department::budget")</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c r="F41" s="19" t="str">
        <f>relSql("SELECT name, lastname, department, budget FROM t1",F39)</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row>
    <row r="42" spans="1:7" ht="34">
      <c r="A42" s="50"/>
      <c r="D42" s="24" t="str">
        <f ca="1">_xlfn.FORMULATEXT(D43)</f>
        <v>=relFilter(D39,"S %budget&gt;60000","P name::lastname")</v>
      </c>
      <c r="F42" s="38" t="str">
        <f ca="1">_xlfn.FORMULATEXT(F43)</f>
        <v>=relSql("SELECT name, lastname FROM t1 WHERE budget &gt;= 60000", F39)</v>
      </c>
    </row>
    <row r="43" spans="1:7" ht="150" customHeight="1">
      <c r="A43" s="39" t="s">
        <v>932</v>
      </c>
      <c r="D43" s="19" t="str">
        <f>relFilter(D39,"S %budget&gt;60000","P name::lastname")</f>
        <v>name::lastname 
_x000D_Michael::Rogers 
_x000D_Anand::Manikutty 
_x000D_Mary-Anne::Foster 
_x000D_John::Doe 
_x000D_Zacary::Efron 
_x000D_Eric::Goldsmith 
_x000D_Elizabeth::Doe 
_x000D_Kumar::Swamy</v>
      </c>
      <c r="F43" s="19" t="str">
        <f>relSql("SELECT name, lastname FROM t1 WHERE budget &gt;= 60000", F39)</f>
        <v>name::lastname 
_x000D_Michael::Rogers 
_x000D_Anand::Manikutty 
_x000D_Mary-Anne::Foster 
_x000D_John::Doe 
_x000D_Zacary::Efron 
_x000D_Eric::Goldsmith 
_x000D_Elizabeth::Doe 
_x000D_Kumar::Swamy</v>
      </c>
    </row>
    <row r="44" spans="1:7" ht="68">
      <c r="A44" s="50"/>
      <c r="D44" s="38" t="str">
        <f ca="1">_xlfn.FORMULATEXT(D45)</f>
        <v>=relFilter(departmentlist,"P budget AVG",departmentlist,"J %budget&gt;%budget_avg","P department")</v>
      </c>
      <c r="F44" s="38" t="str">
        <f ca="1">_xlfn.FORMULATEXT(F45)</f>
        <v>=relSql("SELECT department FROM t1 JOIN t2 ON 1 WHERE budget &gt; avgbudget", departmentlist, relSql("SELECT AVG(budget) AS avgbudget FROM t1",departmentlist))</v>
      </c>
    </row>
    <row r="45" spans="1:7" ht="68">
      <c r="A45" s="39" t="s">
        <v>933</v>
      </c>
      <c r="D45" s="19" t="str">
        <f>relFilter(departmentlist,"P budget AVG",departmentlist,"J %budget&gt;%budget_avg","P department")</f>
        <v>department 
_x000D_Human Resources</v>
      </c>
      <c r="F45" s="35" t="str">
        <f>relSql("SELECT department FROM t1 JOIN t2 ON 1 WHERE budget &gt; avgbudget", departmentlist, relSql("SELECT AVG(budget) AS avgbudget FROM t1",departmentlist))</f>
        <v>department 
_x000D_Human Resources</v>
      </c>
    </row>
    <row r="46" spans="1:7" ht="68">
      <c r="A46" s="50"/>
      <c r="D46" s="38" t="str">
        <f ca="1">_xlfn.FORMULATEXT(D47)</f>
        <v>=relFilter(employeelist,"P depid::ssn COUNT","S %ssn_count&gt;2",departmentlist,"J NATURAL","P department")</v>
      </c>
      <c r="F46" s="38" t="str">
        <f ca="1">_xlfn.FORMULATEXT(F47)</f>
        <v>=relProject(relSql("SELECT department, COUNT(ssn) AS c FROM t1 NATURAL JOIN t2 HAVING c&gt; 2",employeelist,departmentlist),"department")</v>
      </c>
    </row>
    <row r="47" spans="1:7" ht="53.5" customHeight="1">
      <c r="A47" s="39" t="s">
        <v>934</v>
      </c>
      <c r="D47" s="19" t="str">
        <f>relFilter(employeelist,"P depid::ssn COUNT","S %ssn_count&gt;2",departmentlist,"J NATURAL","P department")</f>
        <v>department 
_x000D_Human Resources 
_x000D_IT</v>
      </c>
      <c r="F47" s="35" t="str">
        <f>relProject(relSql("SELECT department, COUNT(ssn) AS c FROM t1 NATURAL JOIN t2 HAVING c&gt; 2",employeelist,departmentlist),"department")</f>
        <v>department 
_x000D_Human Resources 
_x000D_IT</v>
      </c>
      <c r="G47" s="50" t="s">
        <v>1169</v>
      </c>
    </row>
    <row r="48" spans="1:7" ht="85">
      <c r="A48" s="50"/>
      <c r="D48" s="38" t="str">
        <f ca="1">_xlfn.FORMULATEXT(D49)</f>
        <v>=relFilter(departmentlist,"O budget 1","L 2 1",employeelist,"J NATURAL","P name::lastname")</v>
      </c>
      <c r="F48" s="38" t="str">
        <f ca="1">_xlfn.FORMULATEXT(F49)</f>
        <v>=relSql("SELECT name, lastname FROM t1 NATURAL JOIN t2",employeelist,relLimit(relSql("SELECT depid, budget FROM t1 ORDER BY budget",departmentlist),2,1))</v>
      </c>
    </row>
    <row r="49" spans="1:7" ht="66.5" customHeight="1">
      <c r="A49" s="39" t="s">
        <v>935</v>
      </c>
      <c r="D49" s="19" t="str">
        <f>relFilter(departmentlist,"O budget 1","L 2 1",employeelist,"J NATURAL","P name::lastname")</f>
        <v>name::lastname 
_x000D_George::ODonnell 
_x000D_David::Smith</v>
      </c>
      <c r="F49" s="35" t="str">
        <f>relSql("SELECT name, lastname FROM t1 NATURAL JOIN t2",employeelist,relLimit(relSql("SELECT depid, budget FROM t1 ORDER BY budget",departmentlist),2,1))</f>
        <v>name::lastname 
_x000D_George::ODonnell 
_x000D_David::Smith</v>
      </c>
      <c r="G49" s="59" t="s">
        <v>1170</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dimension ref="A1:J54"/>
  <sheetViews>
    <sheetView workbookViewId="0">
      <selection activeCell="A51" sqref="A50:A51"/>
    </sheetView>
  </sheetViews>
  <sheetFormatPr baseColWidth="10" defaultRowHeight="14"/>
  <cols>
    <col min="1" max="1" width="26.6640625" customWidth="1"/>
    <col min="3" max="3" width="3.6640625" customWidth="1"/>
    <col min="4" max="4" width="48.6640625" customWidth="1"/>
    <col min="5" max="5" width="4.5" customWidth="1"/>
    <col min="6" max="6" width="43.33203125" customWidth="1"/>
    <col min="7" max="7" width="22.1640625" customWidth="1"/>
    <col min="8" max="8" width="41.83203125" customWidth="1"/>
  </cols>
  <sheetData>
    <row r="1" spans="1:10" ht="16">
      <c r="A1" s="36" t="s">
        <v>873</v>
      </c>
      <c r="B1" s="36"/>
      <c r="C1" s="25"/>
      <c r="D1" s="25"/>
      <c r="E1" s="25"/>
      <c r="F1" s="25"/>
      <c r="G1" s="25"/>
      <c r="H1" s="25"/>
      <c r="I1" s="25"/>
      <c r="J1" s="25"/>
    </row>
    <row r="2" spans="1:10" ht="16">
      <c r="A2" s="25"/>
      <c r="B2" s="25"/>
      <c r="C2" s="25"/>
      <c r="D2" s="25"/>
      <c r="E2" s="25"/>
      <c r="F2" s="25"/>
      <c r="G2" s="25"/>
      <c r="H2" s="25"/>
      <c r="I2" s="25"/>
      <c r="J2" s="25"/>
    </row>
    <row r="3" spans="1:10" ht="16">
      <c r="A3" s="25" t="s">
        <v>936</v>
      </c>
      <c r="B3" s="25"/>
      <c r="C3" s="25"/>
      <c r="D3" s="25"/>
      <c r="E3" s="25"/>
      <c r="F3" s="25"/>
      <c r="G3" s="25"/>
      <c r="H3" s="25"/>
      <c r="I3" s="25"/>
      <c r="J3" s="25"/>
    </row>
    <row r="4" spans="1:10" ht="16">
      <c r="A4" s="25"/>
      <c r="B4" s="25"/>
      <c r="C4" s="25"/>
      <c r="D4" s="25"/>
      <c r="E4" s="25"/>
      <c r="F4" s="25"/>
      <c r="G4" s="25"/>
      <c r="H4" s="25"/>
      <c r="I4" s="25"/>
      <c r="J4" s="25"/>
    </row>
    <row r="5" spans="1:10" ht="16">
      <c r="A5" t="s">
        <v>1154</v>
      </c>
      <c r="B5" s="25"/>
      <c r="C5" s="25"/>
      <c r="D5" s="25"/>
      <c r="E5" s="25"/>
      <c r="F5" s="25"/>
      <c r="G5" s="25"/>
      <c r="H5" s="25"/>
      <c r="I5" s="25"/>
      <c r="J5" s="25"/>
    </row>
    <row r="6" spans="1:10" ht="16">
      <c r="A6" s="25"/>
      <c r="B6" s="25"/>
      <c r="C6" s="25"/>
      <c r="D6" s="25"/>
      <c r="E6" s="25"/>
      <c r="F6" s="25"/>
      <c r="G6" s="25"/>
      <c r="H6" s="25"/>
      <c r="I6" s="25"/>
      <c r="J6" s="25"/>
    </row>
    <row r="7" spans="1:10" ht="16">
      <c r="A7" s="36" t="s">
        <v>782</v>
      </c>
      <c r="B7" s="25"/>
      <c r="C7" s="36" t="s">
        <v>1157</v>
      </c>
      <c r="D7" s="36"/>
      <c r="F7" s="25"/>
      <c r="G7" s="36" t="s">
        <v>1158</v>
      </c>
      <c r="H7" s="36"/>
      <c r="I7" s="25"/>
      <c r="J7" s="25"/>
    </row>
    <row r="8" spans="1:10">
      <c r="C8" s="45" t="s">
        <v>937</v>
      </c>
      <c r="D8" s="45" t="s">
        <v>938</v>
      </c>
      <c r="E8" s="45" t="s">
        <v>939</v>
      </c>
      <c r="G8" s="45" t="s">
        <v>940</v>
      </c>
      <c r="H8" s="45" t="s">
        <v>941</v>
      </c>
      <c r="I8" s="45" t="s">
        <v>942</v>
      </c>
      <c r="J8" s="45" t="s">
        <v>937</v>
      </c>
    </row>
    <row r="9" spans="1:10">
      <c r="C9" s="45">
        <v>1</v>
      </c>
      <c r="D9" s="45" t="s">
        <v>943</v>
      </c>
      <c r="E9" s="45">
        <v>3</v>
      </c>
      <c r="G9" s="45" t="s">
        <v>944</v>
      </c>
      <c r="H9" s="45" t="s">
        <v>945</v>
      </c>
      <c r="I9" s="45">
        <v>180</v>
      </c>
      <c r="J9" s="45">
        <v>3</v>
      </c>
    </row>
    <row r="10" spans="1:10">
      <c r="C10" s="45">
        <v>2</v>
      </c>
      <c r="D10" s="45" t="s">
        <v>943</v>
      </c>
      <c r="E10" s="45">
        <v>4</v>
      </c>
      <c r="G10" s="45" t="s">
        <v>946</v>
      </c>
      <c r="H10" s="45" t="s">
        <v>945</v>
      </c>
      <c r="I10" s="45">
        <v>250</v>
      </c>
      <c r="J10" s="45">
        <v>1</v>
      </c>
    </row>
    <row r="11" spans="1:10">
      <c r="C11" s="45">
        <v>3</v>
      </c>
      <c r="D11" s="45" t="s">
        <v>947</v>
      </c>
      <c r="E11" s="45">
        <v>7</v>
      </c>
      <c r="G11" s="45" t="s">
        <v>948</v>
      </c>
      <c r="H11" s="45" t="s">
        <v>949</v>
      </c>
      <c r="I11" s="45">
        <v>190</v>
      </c>
      <c r="J11" s="45">
        <v>4</v>
      </c>
    </row>
    <row r="12" spans="1:10">
      <c r="C12" s="45">
        <v>4</v>
      </c>
      <c r="D12" s="45" t="s">
        <v>950</v>
      </c>
      <c r="E12" s="45">
        <v>2</v>
      </c>
      <c r="G12" s="45" t="s">
        <v>951</v>
      </c>
      <c r="H12" s="45" t="s">
        <v>945</v>
      </c>
      <c r="I12" s="45">
        <v>200</v>
      </c>
      <c r="J12" s="45">
        <v>1</v>
      </c>
    </row>
    <row r="13" spans="1:10">
      <c r="C13" s="45">
        <v>5</v>
      </c>
      <c r="D13" s="45" t="s">
        <v>207</v>
      </c>
      <c r="E13" s="45">
        <v>8</v>
      </c>
      <c r="G13" s="45" t="s">
        <v>952</v>
      </c>
      <c r="H13" s="45" t="s">
        <v>953</v>
      </c>
      <c r="I13" s="45">
        <v>75</v>
      </c>
      <c r="J13" s="45">
        <v>1</v>
      </c>
    </row>
    <row r="14" spans="1:10">
      <c r="G14" s="45" t="s">
        <v>954</v>
      </c>
      <c r="H14" s="45" t="s">
        <v>953</v>
      </c>
      <c r="I14" s="45">
        <v>50</v>
      </c>
      <c r="J14" s="45">
        <v>3</v>
      </c>
    </row>
    <row r="15" spans="1:10">
      <c r="G15" s="45" t="s">
        <v>955</v>
      </c>
      <c r="H15" s="45" t="s">
        <v>953</v>
      </c>
      <c r="I15" s="45">
        <v>175</v>
      </c>
      <c r="J15" s="45">
        <v>2</v>
      </c>
    </row>
    <row r="16" spans="1:10">
      <c r="G16" s="45" t="s">
        <v>956</v>
      </c>
      <c r="H16" s="45" t="s">
        <v>945</v>
      </c>
      <c r="I16" s="45">
        <v>140</v>
      </c>
      <c r="J16" s="45">
        <v>4</v>
      </c>
    </row>
    <row r="17" spans="1:10">
      <c r="G17" s="45" t="s">
        <v>957</v>
      </c>
      <c r="H17" s="45" t="s">
        <v>949</v>
      </c>
      <c r="I17" s="45">
        <v>125</v>
      </c>
      <c r="J17" s="45">
        <v>1</v>
      </c>
    </row>
    <row r="18" spans="1:10">
      <c r="G18" s="45" t="s">
        <v>958</v>
      </c>
      <c r="H18" s="45" t="s">
        <v>949</v>
      </c>
      <c r="I18" s="45">
        <v>150</v>
      </c>
      <c r="J18" s="45">
        <v>2</v>
      </c>
    </row>
    <row r="20" spans="1:10" ht="34">
      <c r="A20" s="24"/>
      <c r="D20" s="24" t="str">
        <f ca="1">_xlfn.FORMULATEXT(D21)</f>
        <v>=relFilter(boxlist,"S %value&gt;150")</v>
      </c>
      <c r="F20" s="38" t="str">
        <f ca="1">_xlfn.FORMULATEXT(F21)</f>
        <v>=relSql("SELECT * FROM t1 WHERE value &gt; 150",boxlist)</v>
      </c>
      <c r="H20" s="24"/>
    </row>
    <row r="21" spans="1:10" ht="96" customHeight="1">
      <c r="A21" s="39" t="s">
        <v>959</v>
      </c>
      <c r="D21" s="19" t="str">
        <f>relFilter(boxlist,"S %value&gt;150")</f>
        <v>boxid::contents::value::wid 
0MN7::Rocks::180::3 
4H8P::Rocks::250::1 
4RT3::Scissors::190::4 
7G3H::Rocks::200::1 
9J6F::Papers::175::2</v>
      </c>
      <c r="F21" s="19" t="str">
        <f>relSql("SELECT * FROM t1 WHERE value &gt; 150",boxlist)</f>
        <v>boxid::contents::value::wid 
0MN7::Rocks::180::3 
4H8P::Rocks::250::1 
4RT3::Scissors::190::4 
7G3H::Rocks::200::1 
9J6F::Papers::175::2</v>
      </c>
      <c r="H21" s="19"/>
    </row>
    <row r="22" spans="1:10" ht="16">
      <c r="A22" s="39"/>
      <c r="D22" s="20"/>
      <c r="F22" s="20"/>
      <c r="H22" s="20"/>
    </row>
    <row r="23" spans="1:10" ht="16">
      <c r="A23" s="50"/>
      <c r="D23" s="24" t="str">
        <f ca="1">_xlfn.FORMULATEXT(D24)</f>
        <v>=relFilter(boxlist,"P contents")</v>
      </c>
      <c r="F23" s="24" t="str">
        <f ca="1">_xlfn.FORMULATEXT(F24)</f>
        <v>=relSql("SELECT contents FROM t1",boxlist)</v>
      </c>
      <c r="H23" s="24"/>
    </row>
    <row r="24" spans="1:10" ht="78" customHeight="1">
      <c r="A24" s="39" t="s">
        <v>960</v>
      </c>
      <c r="D24" s="19" t="str">
        <f>relFilter(boxlist,"P contents")</f>
        <v>contents 
Papers 
Rocks 
Scissors</v>
      </c>
      <c r="F24" s="19" t="str">
        <f>relSql("SELECT contents FROM t1",boxlist)</f>
        <v>contents 
Papers 
Rocks 
Scissors</v>
      </c>
      <c r="H24" s="19"/>
    </row>
    <row r="25" spans="1:10" ht="16.5" customHeight="1">
      <c r="A25" s="39"/>
      <c r="D25" s="19"/>
      <c r="F25" s="19"/>
      <c r="H25" s="19"/>
    </row>
    <row r="26" spans="1:10" ht="34">
      <c r="D26" s="24" t="str">
        <f ca="1">_xlfn.FORMULATEXT(D27)</f>
        <v>=relFilter(boxlist,"P value AVG")</v>
      </c>
      <c r="F26" s="38" t="str">
        <f ca="1">_xlfn.FORMULATEXT(F27)</f>
        <v>=relSql("SELECT AVG(value) AS averagevalue FROM t1",boxlist)</v>
      </c>
      <c r="H26" s="24"/>
    </row>
    <row r="27" spans="1:10" ht="34">
      <c r="A27" s="39" t="s">
        <v>961</v>
      </c>
      <c r="D27" s="19" t="str">
        <f>relFilter(boxlist,"P value AVG")</f>
        <v>value_avg 
153.5</v>
      </c>
      <c r="F27" s="23" t="str">
        <f>relSql("SELECT AVG(value) AS averagevalue FROM t1",boxlist)</f>
        <v>averagevalue 
153.5</v>
      </c>
    </row>
    <row r="28" spans="1:10" ht="16">
      <c r="A28" s="39"/>
    </row>
    <row r="29" spans="1:10" ht="34">
      <c r="D29" s="24" t="str">
        <f ca="1">_xlfn.FORMULATEXT(D30)</f>
        <v>=relFilter(boxlist,"P boxid::value AVG")</v>
      </c>
      <c r="F29" s="38" t="str">
        <f ca="1">_xlfn.FORMULATEXT(F30)</f>
        <v>=relSql("SELECT boxid, AVG(value) AS averagevalue FROM t1",boxlist)</v>
      </c>
      <c r="H29" s="24"/>
    </row>
    <row r="30" spans="1:10" ht="181.75" customHeight="1">
      <c r="A30" s="39" t="s">
        <v>962</v>
      </c>
      <c r="D30" s="19" t="str">
        <f>relFilter(boxlist,"P boxid::value AVG")</f>
        <v>boxid::value_avg 
0MN7::180 
4H8P::250 
4RT3::190 
7G3H::200 
8JN6::75 
8Y6U::50 
9J6F::175 
LL08::140 
P0H6::125 
P2T6::150</v>
      </c>
      <c r="F30" s="19" t="str">
        <f>relSql("SELECT boxid, AVG(value) AS averagevalue FROM t1",boxlist)</f>
        <v>boxid::averagevalue 
0MN7::180 
4H8P::250 
4RT3::190 
7G3H::200 
8JN6::75 
8Y6U::50 
9J6F::175 
LL08::140 
P0H6::125 
P2T6::150</v>
      </c>
      <c r="H30" s="19"/>
    </row>
    <row r="31" spans="1:10" ht="16">
      <c r="A31" s="39"/>
      <c r="D31" s="19"/>
      <c r="F31" s="19"/>
      <c r="H31" s="19"/>
    </row>
    <row r="32" spans="1:10" ht="34">
      <c r="D32" s="38" t="str">
        <f ca="1">_xlfn.FORMULATEXT(D33)</f>
        <v>=relFilter(boxlist,warehouselist,"J NATURAL","P boxid::location")</v>
      </c>
      <c r="F32" s="38" t="str">
        <f ca="1">_xlfn.FORMULATEXT(F33)</f>
        <v>=relSql("SELECT boxid, location FROM t1 NATURAL JOIN t2",boxlist,warehouselist)</v>
      </c>
      <c r="H32" s="24"/>
    </row>
    <row r="33" spans="1:8" ht="165">
      <c r="A33" s="39" t="s">
        <v>963</v>
      </c>
      <c r="D33" s="19" t="str">
        <f>relFilter(boxlist,warehouselist,"J NATURAL","P boxid::location")</f>
        <v>boxid::location 
0MN7::New York 
4H8P::Chicago 
4RT3::Los Angeles 
7G3H::Chicago 
8JN6::Chicago 
8Y6U::New York 
9J6F::Chicago 
LL08::Los Angeles 
P0H6::Chicago 
P2T6::Chicago</v>
      </c>
      <c r="F33" s="19" t="str">
        <f>relSql("SELECT boxid, location FROM t1 NATURAL JOIN t2",boxlist,warehouselist)</f>
        <v>boxid::location 
0MN7::New York 
4H8P::Chicago 
4RT3::Los Angeles 
7G3H::Chicago 
8JN6::Chicago 
8Y6U::New York 
9J6F::Chicago 
LL08::Los Angeles 
P0H6::Chicago 
P2T6::Chicago</v>
      </c>
      <c r="H33" s="19"/>
    </row>
    <row r="34" spans="1:8" ht="16">
      <c r="A34" s="39"/>
      <c r="D34" s="19"/>
      <c r="F34" s="19"/>
      <c r="H34" s="19"/>
    </row>
    <row r="35" spans="1:8" ht="51">
      <c r="D35" s="24" t="str">
        <f ca="1">_xlfn.FORMULATEXT(D36)</f>
        <v>=relFilter(boxlist,warehouselist,"J NATURAL","P wid::boxid COUNT")</v>
      </c>
      <c r="F35" s="38" t="str">
        <f ca="1">_xlfn.FORMULATEXT(F36)</f>
        <v>=relSql("SELECT wid, COUNT(boxid) AS boxes FROM t1 NATURAL JOIN t2",boxlist,warehouselist)</v>
      </c>
      <c r="H35" s="24"/>
    </row>
    <row r="36" spans="1:8" ht="91.25" customHeight="1">
      <c r="A36" s="39" t="s">
        <v>964</v>
      </c>
      <c r="D36" s="19" t="str">
        <f>relFilter(boxlist,warehouselist,"J NATURAL","P wid::boxid COUNT")</f>
        <v>wid::boxid_count 
3::2 
4::2 
1::4 
2::2</v>
      </c>
      <c r="F36" s="19" t="str">
        <f>relSql("SELECT wid, COUNT(boxid) AS boxes FROM t1 NATURAL JOIN t2",boxlist,warehouselist)</f>
        <v>wid::boxes 
3::2 
4::2 
1::4 
2::2</v>
      </c>
      <c r="H36" s="19"/>
    </row>
    <row r="38" spans="1:8" ht="64.5" customHeight="1">
      <c r="A38" s="50"/>
      <c r="D38" s="38" t="str">
        <f ca="1">_xlfn.FORMULATEXT(D39)</f>
        <v>=relFilter(warehouselist,boxlist,"E c 1","J LEFT","P wid::c SUM")</v>
      </c>
      <c r="F38" s="38" t="str">
        <f ca="1">_xlfn.FORMULATEXT(F39)</f>
        <v>=relSql("SELECT wid, COUNT(boxid) AS boxes FROM t1 LEFT JOIN t2 ON t1.wid = t2.wid",warehouselist,boxlist)</v>
      </c>
      <c r="G38" s="26"/>
      <c r="H38" s="24"/>
    </row>
    <row r="39" spans="1:8" ht="195" customHeight="1">
      <c r="A39" s="39" t="s">
        <v>965</v>
      </c>
      <c r="D39" s="19" t="str">
        <f>relFilter(warehouselist,boxlist,"E c 1","J LEFT","P wid::c SUM")</f>
        <v>wid::c_sum 
1::4 
2::2 
3::2 
4::2 
5::0</v>
      </c>
      <c r="F39" s="19" t="str">
        <f>relSql("SELECT wid, COUNT(boxid) AS boxes FROM t1 LEFT JOIN t2 ON t1.wid = t2.wid",warehouselist,boxlist)</f>
        <v>wid::boxes 
1::4 
2::2 
3::2 
4::2 
5::0</v>
      </c>
      <c r="G39" s="57"/>
      <c r="H39" s="19"/>
    </row>
    <row r="40" spans="1:8" ht="16">
      <c r="A40" s="39"/>
    </row>
    <row r="41" spans="1:8">
      <c r="A41" s="50"/>
    </row>
    <row r="42" spans="1:8" ht="51">
      <c r="A42" s="50"/>
      <c r="D42" s="24" t="str">
        <f ca="1">_xlfn.FORMULATEXT(D43)</f>
        <v>=relFilter(warehouselist,boxlist,"J LEFT")</v>
      </c>
      <c r="F42" s="38" t="str">
        <f ca="1">_xlfn.FORMULATEXT(F43)</f>
        <v>=relSql("SELECT wid, capacity, COUNT(boxid) AS boxes FROM t1 NATURAL JOIN t2 HAVING boxes &gt; capacity",warehouselist,boxlist)</v>
      </c>
      <c r="H42" s="24"/>
    </row>
    <row r="43" spans="1:8" ht="180">
      <c r="A43" s="39" t="s">
        <v>966</v>
      </c>
      <c r="D43" s="51" t="str">
        <f>relFilter(warehouselist,boxlist,"J LEFT")</f>
        <v>wid::location::capacity::boxid::contents::value 
1::Chicago::3::4H8P::Rocks::250 
1::Chicago::3::7G3H::Rocks::200 
1::Chicago::3::8JN6::Papers::75 
1::Chicago::3::P0H6::Scissors::125 
2::Chicago::4::9J6F::Papers::175 
2::Chicago::4::P2T6::Scissors::150 
3::New York::7::0MN7::Rocks::180 
3::New York::7::8Y6U::Papers::50 
4::Los Angeles::2::4RT3::Scissors::190 
4::Los Angeles::2::LL08::Rocks::140 
5::San Francisco::8::::::</v>
      </c>
      <c r="F43" s="51" t="str">
        <f>relSql("SELECT wid, capacity, COUNT(boxid) AS boxes FROM t1 NATURAL JOIN t2 HAVING boxes &gt; capacity",warehouselist,boxlist)</f>
        <v>wid::capacity::boxes 
1::3::4</v>
      </c>
      <c r="H43" s="37"/>
    </row>
    <row r="44" spans="1:8" ht="16">
      <c r="A44" s="50"/>
      <c r="D44" s="24" t="str">
        <f ca="1">_xlfn.FORMULATEXT(D45)</f>
        <v>=relFilter(D43,"P wid::capacity::boxid COUNT")</v>
      </c>
      <c r="F44" s="60" t="str">
        <f ca="1">_xlfn.FORMULATEXT(F45)</f>
        <v>=relSql("SELECT wid FROM t1",F43)</v>
      </c>
      <c r="H44" s="24"/>
    </row>
    <row r="45" spans="1:8" ht="94.5" customHeight="1">
      <c r="A45" s="50"/>
      <c r="D45" s="19" t="str">
        <f>relFilter(D43,"P wid::capacity::boxid COUNT")</f>
        <v>wid::capacity::boxid_count 
1::3::4 
2::4::2 
3::7::2 
4::2::2 
5::8::0</v>
      </c>
      <c r="F45" s="35" t="str">
        <f>relSql("SELECT wid FROM t1",F43)</f>
        <v>wid 
1</v>
      </c>
      <c r="H45" s="19"/>
    </row>
    <row r="46" spans="1:8" ht="16">
      <c r="A46" s="50"/>
      <c r="D46" s="24" t="str">
        <f ca="1">_xlfn.FORMULATEXT(D47)</f>
        <v>=relFilter(D45,"S %boxid_count&gt;%capacity")</v>
      </c>
      <c r="F46" s="60"/>
      <c r="H46" s="24"/>
    </row>
    <row r="47" spans="1:8" ht="31">
      <c r="A47" s="50"/>
      <c r="D47" s="23" t="str">
        <f>relFilter(D45,"S %boxid_count&gt;%capacity")</f>
        <v>wid::capacity::boxid_count 
1::3::4</v>
      </c>
      <c r="F47" s="60"/>
      <c r="H47" s="23"/>
    </row>
    <row r="48" spans="1:8" ht="16">
      <c r="A48" s="50"/>
      <c r="D48" s="24" t="str">
        <f ca="1">_xlfn.FORMULATEXT(D49)</f>
        <v>=relFilter(D47,"P wid")</v>
      </c>
      <c r="F48" s="60"/>
      <c r="H48" s="24"/>
    </row>
    <row r="49" spans="1:8" ht="38.5" customHeight="1">
      <c r="A49" s="50"/>
      <c r="D49" s="19" t="str">
        <f>relFilter(D47,"P wid")</f>
        <v>wid 
1</v>
      </c>
      <c r="F49" s="60"/>
      <c r="H49" s="19"/>
    </row>
    <row r="50" spans="1:8" ht="90">
      <c r="A50" s="37" t="s">
        <v>967</v>
      </c>
    </row>
    <row r="51" spans="1:8">
      <c r="A51" s="50"/>
    </row>
    <row r="52" spans="1:8">
      <c r="A52" s="50"/>
    </row>
    <row r="53" spans="1:8">
      <c r="A53" s="50"/>
    </row>
    <row r="54" spans="1:8">
      <c r="A54" s="50"/>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dimension ref="A1:L41"/>
  <sheetViews>
    <sheetView workbookViewId="0">
      <selection activeCell="A45" sqref="A45"/>
    </sheetView>
  </sheetViews>
  <sheetFormatPr baseColWidth="10" defaultRowHeight="14"/>
  <cols>
    <col min="1" max="1" width="26.5" customWidth="1"/>
    <col min="2" max="2" width="3" customWidth="1"/>
    <col min="3" max="3" width="3.1640625" customWidth="1"/>
    <col min="4" max="4" width="42.1640625" customWidth="1"/>
    <col min="6" max="6" width="39.1640625" customWidth="1"/>
    <col min="7" max="7" width="15" customWidth="1"/>
    <col min="8" max="8" width="53" customWidth="1"/>
    <col min="9" max="9" width="35" customWidth="1"/>
    <col min="10" max="10" width="37" customWidth="1"/>
    <col min="11" max="11" width="27.83203125" customWidth="1"/>
    <col min="12" max="12" width="31.6640625" customWidth="1"/>
  </cols>
  <sheetData>
    <row r="1" spans="1:12" ht="16">
      <c r="A1" s="36" t="s">
        <v>873</v>
      </c>
      <c r="B1" s="36"/>
      <c r="C1" s="25"/>
      <c r="D1" s="25"/>
      <c r="E1" s="25"/>
      <c r="F1" s="25"/>
      <c r="G1" s="25"/>
      <c r="H1" s="25"/>
      <c r="I1" s="25"/>
      <c r="J1" s="25"/>
    </row>
    <row r="2" spans="1:12" ht="16">
      <c r="A2" s="25"/>
      <c r="B2" s="25"/>
      <c r="C2" s="25"/>
      <c r="D2" s="25"/>
      <c r="E2" s="25"/>
      <c r="F2" s="25"/>
      <c r="G2" s="25"/>
      <c r="H2" s="25"/>
      <c r="I2" s="25"/>
      <c r="J2" s="25"/>
    </row>
    <row r="3" spans="1:12" ht="16">
      <c r="A3" s="25" t="s">
        <v>968</v>
      </c>
      <c r="B3" s="25"/>
      <c r="C3" s="25"/>
      <c r="D3" s="25"/>
      <c r="E3" s="25"/>
      <c r="F3" s="25"/>
      <c r="G3" s="25"/>
      <c r="H3" s="25"/>
      <c r="I3" s="25"/>
      <c r="J3" s="25"/>
    </row>
    <row r="4" spans="1:12" ht="16">
      <c r="A4" s="25"/>
      <c r="B4" s="25"/>
      <c r="C4" s="25"/>
      <c r="D4" s="25"/>
      <c r="E4" s="25"/>
      <c r="F4" s="25"/>
      <c r="G4" s="25"/>
      <c r="H4" s="25"/>
      <c r="I4" s="25"/>
      <c r="J4" s="25"/>
    </row>
    <row r="5" spans="1:12" ht="16">
      <c r="A5" t="s">
        <v>1154</v>
      </c>
      <c r="B5" s="25"/>
      <c r="C5" s="25"/>
      <c r="D5" s="25"/>
      <c r="E5" s="25"/>
      <c r="F5" s="25"/>
      <c r="G5" s="25"/>
      <c r="H5" s="25"/>
      <c r="I5" s="25"/>
      <c r="J5" s="25"/>
    </row>
    <row r="6" spans="1:12" ht="16">
      <c r="A6" s="25"/>
      <c r="B6" s="25"/>
      <c r="C6" s="25"/>
      <c r="D6" s="25"/>
      <c r="E6" s="25"/>
      <c r="F6" s="25"/>
      <c r="G6" s="25"/>
      <c r="H6" s="25"/>
      <c r="I6" s="25"/>
      <c r="J6" s="25"/>
    </row>
    <row r="7" spans="1:12" ht="16">
      <c r="A7" s="36" t="s">
        <v>782</v>
      </c>
      <c r="B7" s="25"/>
      <c r="C7" s="36" t="s">
        <v>1159</v>
      </c>
      <c r="D7" s="36"/>
      <c r="F7" s="25"/>
      <c r="G7" s="36" t="s">
        <v>1160</v>
      </c>
      <c r="H7" s="36"/>
      <c r="I7" s="25"/>
      <c r="J7" s="25"/>
      <c r="K7" s="24" t="s">
        <v>1160</v>
      </c>
    </row>
    <row r="8" spans="1:12">
      <c r="C8" s="45" t="s">
        <v>969</v>
      </c>
      <c r="D8" s="45" t="s">
        <v>970</v>
      </c>
      <c r="G8" s="45" t="s">
        <v>969</v>
      </c>
      <c r="H8" s="45" t="s">
        <v>971</v>
      </c>
      <c r="I8" s="45" t="s">
        <v>787</v>
      </c>
      <c r="K8" s="45" t="s">
        <v>971</v>
      </c>
      <c r="L8" s="45" t="s">
        <v>972</v>
      </c>
    </row>
    <row r="9" spans="1:12">
      <c r="C9" s="45">
        <v>1</v>
      </c>
      <c r="D9" s="45" t="s">
        <v>973</v>
      </c>
      <c r="G9" s="45">
        <v>1</v>
      </c>
      <c r="H9" s="45" t="s">
        <v>974</v>
      </c>
      <c r="I9" s="45">
        <v>10</v>
      </c>
      <c r="K9" s="45" t="s">
        <v>974</v>
      </c>
      <c r="L9" s="45" t="s">
        <v>975</v>
      </c>
    </row>
    <row r="10" spans="1:12">
      <c r="C10" s="45">
        <v>2</v>
      </c>
      <c r="D10" s="45" t="s">
        <v>976</v>
      </c>
      <c r="G10" s="45">
        <v>1</v>
      </c>
      <c r="H10" s="45" t="s">
        <v>977</v>
      </c>
      <c r="I10" s="45">
        <v>15</v>
      </c>
      <c r="K10" s="45" t="s">
        <v>977</v>
      </c>
      <c r="L10" s="45" t="s">
        <v>978</v>
      </c>
    </row>
    <row r="11" spans="1:12">
      <c r="C11" s="45">
        <v>3</v>
      </c>
      <c r="D11" s="45" t="s">
        <v>979</v>
      </c>
      <c r="G11" s="45">
        <v>2</v>
      </c>
      <c r="H11" s="45" t="s">
        <v>974</v>
      </c>
      <c r="I11" s="45">
        <v>20</v>
      </c>
      <c r="K11" s="45" t="s">
        <v>980</v>
      </c>
      <c r="L11" s="45" t="s">
        <v>981</v>
      </c>
    </row>
    <row r="12" spans="1:12">
      <c r="C12" s="45">
        <v>4</v>
      </c>
      <c r="D12" s="45" t="s">
        <v>982</v>
      </c>
      <c r="G12" s="45">
        <v>2</v>
      </c>
      <c r="H12" s="45" t="s">
        <v>977</v>
      </c>
      <c r="I12" s="45">
        <v>15</v>
      </c>
    </row>
    <row r="13" spans="1:12">
      <c r="G13" s="45">
        <v>2</v>
      </c>
      <c r="H13" s="45" t="s">
        <v>980</v>
      </c>
      <c r="I13" s="45">
        <v>14</v>
      </c>
    </row>
    <row r="14" spans="1:12">
      <c r="G14" s="45">
        <v>3</v>
      </c>
      <c r="H14" s="45" t="s">
        <v>977</v>
      </c>
      <c r="I14" s="45">
        <v>50</v>
      </c>
    </row>
    <row r="15" spans="1:12">
      <c r="G15" s="45">
        <v>3</v>
      </c>
      <c r="H15" s="45" t="s">
        <v>980</v>
      </c>
      <c r="I15" s="45">
        <v>45</v>
      </c>
    </row>
    <row r="16" spans="1:12">
      <c r="G16" s="45">
        <v>4</v>
      </c>
      <c r="H16" s="45" t="s">
        <v>974</v>
      </c>
      <c r="I16" s="45">
        <v>5</v>
      </c>
    </row>
    <row r="17" spans="1:10">
      <c r="G17" s="45">
        <v>4</v>
      </c>
      <c r="H17" s="45" t="s">
        <v>977</v>
      </c>
      <c r="I17" s="45">
        <v>7</v>
      </c>
    </row>
    <row r="20" spans="1:10">
      <c r="H20" s="23"/>
    </row>
    <row r="21" spans="1:10" ht="16">
      <c r="D21" s="24" t="str">
        <f ca="1">_xlfn.FORMULATEXT(D22)</f>
        <v>=relFilter(pieces,"P pname")</v>
      </c>
      <c r="F21" s="24" t="str">
        <f ca="1">_xlfn.FORMULATEXT(F22)</f>
        <v>=relSql("SELECT pname FROM t1", pieces)</v>
      </c>
      <c r="H21" s="24"/>
    </row>
    <row r="22" spans="1:10" ht="75">
      <c r="A22" s="39" t="s">
        <v>983</v>
      </c>
      <c r="D22" s="19" t="str">
        <f>relFilter(pieces,"P pname")</f>
        <v>pname 
_x000D_Sprocket 
_x000D_Screw 
_x000D_Nut 
_x000D_Bolt</v>
      </c>
      <c r="F22" s="19" t="str">
        <f>relSql("SELECT pname FROM t1", pieces)</f>
        <v>pname 
_x000D_Sprocket 
_x000D_Screw 
_x000D_Nut 
_x000D_Bolt</v>
      </c>
      <c r="H22" s="19"/>
    </row>
    <row r="23" spans="1:10">
      <c r="A23" s="50"/>
    </row>
    <row r="24" spans="1:10" ht="34">
      <c r="A24" s="50"/>
      <c r="D24" s="24" t="str">
        <f ca="1">_xlfn.FORMULATEXT(D25)</f>
        <v>=relFilter(provides,"P pid::price AVG")</v>
      </c>
      <c r="F24" s="38" t="str">
        <f ca="1">_xlfn.FORMULATEXT(F25)</f>
        <v>=relSql("SELECT pid, AVG(price) AS averageprice FROM t1", provides)</v>
      </c>
      <c r="H24" s="24"/>
    </row>
    <row r="25" spans="1:10" ht="82.5" customHeight="1">
      <c r="A25" s="39" t="s">
        <v>984</v>
      </c>
      <c r="D25" s="19" t="str">
        <f>relFilter(provides,"P pid::price AVG")</f>
        <v>pid::price_avg 
_x000D_1::12.5 
_x000D_2::16.3333333333333 
_x000D_3::47.5 
_x000D_4::6</v>
      </c>
      <c r="F25" s="19" t="str">
        <f>relSql("SELECT pid, AVG(price) AS averageprice FROM t1", provides)</f>
        <v>pid::averageprice 
_x000D_1::12.5 
_x000D_2::16.3333333333333 
_x000D_3::47.5 
_x000D_4::6</v>
      </c>
      <c r="H25" s="19"/>
    </row>
    <row r="26" spans="1:10">
      <c r="A26" s="50"/>
    </row>
    <row r="27" spans="1:10" ht="34">
      <c r="A27" s="50"/>
      <c r="D27" s="38" t="str">
        <f ca="1">_xlfn.FORMULATEXT(D28)</f>
        <v>=relFilter(provides,"S %pid=1",providers,"J NATURAL","P ename")</v>
      </c>
      <c r="F27" s="38" t="str">
        <f ca="1">_xlfn.FORMULATEXT(F28)</f>
        <v>=relSql("SELECT ename FROM t1 NATURAL JOIN t2 WHERE pid = 1",provides,providers)</v>
      </c>
      <c r="H27" s="24"/>
      <c r="I27" s="24"/>
      <c r="J27" s="24"/>
    </row>
    <row r="28" spans="1:10" ht="45">
      <c r="A28" s="39" t="s">
        <v>985</v>
      </c>
      <c r="D28" s="37" t="str">
        <f>relFilter(provides,"S %pid=1",providers,"J NATURAL","P ename")</f>
        <v>ename 
_x000D_Clarke Entreprises 
_x000D_Susan Calvin Corp.</v>
      </c>
      <c r="F28" s="37" t="str">
        <f>relSql("SELECT ename FROM t1 NATURAL JOIN t2 WHERE pid = 1",provides,providers)</f>
        <v>ename 
_x000D_Clarke Entreprises 
_x000D_Susan Calvin Corp.</v>
      </c>
      <c r="H28" s="37"/>
      <c r="I28" s="23"/>
      <c r="J28" s="23"/>
    </row>
    <row r="29" spans="1:10">
      <c r="A29" s="50"/>
      <c r="D29" s="23"/>
      <c r="F29" s="23"/>
      <c r="H29" s="23"/>
      <c r="I29" s="23"/>
      <c r="J29" s="23"/>
    </row>
    <row r="30" spans="1:10" ht="51">
      <c r="A30" s="50"/>
      <c r="D30" s="38" t="str">
        <f ca="1">_xlfn.FORMULATEXT(D31)</f>
        <v>=relFilter(providers,"S $eid=""HAL""",provides,"J NATURAL",pieces,"J NATURAL","P pname")</v>
      </c>
      <c r="F30" s="38" t="str">
        <f ca="1">_xlfn.FORMULATEXT(F31)</f>
        <v>=relSql("SELECT pname FROM t1 NATURAL JOIN t2 WHERE eid ='HAL'",provides,pieces)</v>
      </c>
      <c r="H30" s="24"/>
      <c r="I30" s="24"/>
      <c r="J30" s="24"/>
    </row>
    <row r="31" spans="1:10" ht="60">
      <c r="A31" s="39" t="s">
        <v>986</v>
      </c>
      <c r="D31" s="19" t="str">
        <f>relFilter(providers,"S $eid=""HAL""",provides,"J NATURAL",pieces,"J NATURAL","P pname")</f>
        <v>pname 
_x000D_Sprocket 
_x000D_Screw 
_x000D_Bolt</v>
      </c>
      <c r="F31" s="19" t="str">
        <f>relSql("SELECT pname FROM t1 NATURAL JOIN t2 WHERE eid ='HAL'",provides,pieces)</f>
        <v>pname 
_x000D_Sprocket 
_x000D_Screw 
_x000D_Bolt</v>
      </c>
      <c r="H31" s="19"/>
      <c r="I31" s="23"/>
      <c r="J31" s="23"/>
    </row>
    <row r="32" spans="1:10">
      <c r="A32" s="50"/>
    </row>
    <row r="33" spans="1:11" ht="34">
      <c r="A33" s="50"/>
      <c r="D33" s="24" t="str">
        <f ca="1">_xlfn.FORMULATEXT(D34)</f>
        <v>=relFilter(provides,"P pid::price MAX","R price_max price")</v>
      </c>
      <c r="F33" s="38" t="str">
        <f ca="1">_xlfn.FORMULATEXT(F34)</f>
        <v>=relSql("SELECT pid, MAX(price) AS price FROM t1",provides)</v>
      </c>
    </row>
    <row r="34" spans="1:11" ht="136">
      <c r="A34" s="39" t="s">
        <v>987</v>
      </c>
      <c r="D34" s="19" t="str">
        <f>relFilter(provides,"P pid::price MAX","R price_max price")</f>
        <v>pid::price 
_x000D_1::15 
_x000D_2::20 
_x000D_3::50 
_x000D_4::7</v>
      </c>
      <c r="F34" s="19" t="str">
        <f>relSql("SELECT pid, MAX(price) AS price FROM t1",provides)</f>
        <v>pid::price 
_x000D_1::15 
_x000D_2::20 
_x000D_3::50 
_x000D_4::7</v>
      </c>
      <c r="G34" s="38"/>
      <c r="H34" s="24"/>
      <c r="I34" s="38"/>
      <c r="J34" s="38"/>
      <c r="K34" s="38"/>
    </row>
    <row r="35" spans="1:11" ht="68">
      <c r="D35" s="38" t="str">
        <f ca="1">_xlfn.FORMULATEXT(D36)</f>
        <v>=relFilter(provides,D34,"J NATURAL",providers,"J NATURAL",pieces,"J NATURAL","P pname::ename::price")</v>
      </c>
      <c r="F35" s="38" t="str">
        <f ca="1">_xlfn.FORMULATEXT(F36)</f>
        <v>=relSql("SELECT pname, ename, price FROM t1 NATURAL JOIN t2 NATURAL JOIN t3 NATURAL JOIN t4",pieces,F34,provides,providers)</v>
      </c>
      <c r="G35" s="23"/>
      <c r="H35" s="19"/>
      <c r="I35" s="23"/>
      <c r="J35" s="23"/>
      <c r="K35" s="23"/>
    </row>
    <row r="36" spans="1:11" ht="75">
      <c r="D36" s="19" t="str">
        <f>relFilter(provides,D34,"J NATURAL",providers,"J NATURAL",pieces,"J NATURAL","P pname::ename::price")</f>
        <v>pname::ename::price 
_x000D_Sprocket::Susan Calvin Corp.::15 
_x000D_Screw::Clarke Entreprises::20 
_x000D_Nut::Susan Calvin Corp.::50 
_x000D_Bolt::Susan Calvin Corp.::7</v>
      </c>
      <c r="F36" s="19" t="str">
        <f>relSql("SELECT pname, ename, price FROM t1 NATURAL JOIN t2 NATURAL JOIN t3 NATURAL JOIN t4",pieces,F34,provides,providers)</f>
        <v>pname::ename::price 
_x000D_Sprocket::Susan Calvin Corp.::15 
_x000D_Screw::Clarke Entreprises::20 
_x000D_Nut::Susan Calvin Corp.::50 
_x000D_Bolt::Susan Calvin Corp.::7</v>
      </c>
      <c r="G36" s="23"/>
      <c r="H36" s="24"/>
      <c r="I36" s="23"/>
      <c r="J36" s="23"/>
      <c r="K36" s="23"/>
    </row>
    <row r="37" spans="1:11">
      <c r="H37" s="19"/>
    </row>
    <row r="38" spans="1:11">
      <c r="A38" t="s">
        <v>1161</v>
      </c>
    </row>
    <row r="40" spans="1:11" ht="85">
      <c r="F40" s="38" t="str">
        <f ca="1">_xlfn.FORMULATEXT(F41)</f>
        <v>=relSql("SELECT pname, ename, price FROM t1 NATURAL JOIN t2 NATURAL JOIN t3 NATURAL JOIN t4",pieces,relSql("SELECT pid, MAX(price) AS price FROM t1",provides),provides,providers)</v>
      </c>
    </row>
    <row r="41" spans="1:11" ht="75">
      <c r="F41" s="19" t="str">
        <f>relSql("SELECT pname, ename, price FROM t1 NATURAL JOIN t2 NATURAL JOIN t3 NATURAL JOIN t4",pieces,relSql("SELECT pid, MAX(price) AS price FROM t1",provides),provides,providers)</f>
        <v>pname::ename::price 
_x000D_Sprocket::Susan Calvin Corp.::15 
_x000D_Screw::Clarke Entreprises::20 
_x000D_Nut::Susan Calvin Corp.::50 
_x000D_Bolt::Susan Calvin Corp.::7</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2"/>
  <dimension ref="A1:J46"/>
  <sheetViews>
    <sheetView topLeftCell="D20" workbookViewId="0">
      <selection activeCell="I58" sqref="I58"/>
    </sheetView>
  </sheetViews>
  <sheetFormatPr baseColWidth="10" defaultRowHeight="14"/>
  <cols>
    <col min="2" max="2" width="23.6640625" customWidth="1"/>
    <col min="3" max="3" width="6" customWidth="1"/>
    <col min="4" max="4" width="7" customWidth="1"/>
    <col min="6" max="6" width="2.33203125" customWidth="1"/>
    <col min="9" max="9" width="80.5" customWidth="1"/>
    <col min="10" max="10" width="38.83203125" customWidth="1"/>
  </cols>
  <sheetData>
    <row r="1" spans="1:10" ht="16">
      <c r="A1" s="24" t="s">
        <v>988</v>
      </c>
    </row>
    <row r="2" spans="1:10" ht="16">
      <c r="A2" s="24" t="s">
        <v>989</v>
      </c>
      <c r="G2" s="24" t="s">
        <v>990</v>
      </c>
      <c r="I2" s="24" t="s">
        <v>991</v>
      </c>
      <c r="J2" s="24" t="s">
        <v>992</v>
      </c>
    </row>
    <row r="3" spans="1:10" ht="135.5" customHeight="1">
      <c r="A3" s="24"/>
      <c r="G3" s="24"/>
      <c r="I3" s="37" t="str">
        <f>relFilter(I12,I13&amp;prelNewline()&amp;I20&amp;prelNewline()&amp;I22,"U")</f>
        <v>Compte::Label::Avoir::Devoir 
_x000D_1100::Caisse::2913:: 
_x000D_1200::CCP::4100.5:: 
_x000D_2800::Capital::::6425.5 
_x000D_::PROFIT:: ::-588.00 
_x000D_::TOTAL::6425.5::6425.5</v>
      </c>
      <c r="J3" s="37">
        <v>80321004</v>
      </c>
    </row>
    <row r="4" spans="1:10" ht="16" customHeight="1">
      <c r="A4" s="24"/>
      <c r="G4" s="24"/>
      <c r="I4" s="37"/>
      <c r="J4" s="37"/>
    </row>
    <row r="5" spans="1:10" ht="16" customHeight="1">
      <c r="A5" s="24"/>
      <c r="G5" s="24"/>
      <c r="I5" s="39" t="s">
        <v>993</v>
      </c>
      <c r="J5" s="37"/>
    </row>
    <row r="6" spans="1:10" ht="16" customHeight="1">
      <c r="A6" s="24"/>
      <c r="G6" s="24"/>
      <c r="I6" s="23" t="str">
        <f>relRange(A24:E107)</f>
        <v>Date::Label::Avoir::Devoir::Montant 
_x000D_01.01.16::OUVERTURE CAISSE::1100::9000::225 
_x000D_01.01.16::OUVERTURE CCP::1200::9000::6200.5 
_x000D_01.01.16::OUVERTURE Capital::9000::2800::6425.5 
_x000D_06.01.16::Vente livres::1100::4000::249 
_x000D_07.01.16::Achat livres::3100::1200::480 
_x000D_15.01.16::Vente livres::1100::4000::78 
_x000D_20.01.16::Vente livres::1100::4000::145 
_x000D_25.01.16::Salaire::3800::1200::750 
_x000D_25.01.16::Achat livres::3100::1200::120 
_x000D_26.01.16::Vente livres::1100::4000::22 
_x000D_02.02.16::Vente livres::1100::4000::80 
_x000D_04.01.16::Vente livres::1100::4000::245 
_x000D_11.02.16::Vente livres::1100::4000::320 
_x000D_16.02.16::Vente livres::1100::4000::110 
_x000D_25.02.16::Salaire::3800::1200::750 
_x000D_27.02.16::Vente livres::1100::4000::1250 
_x000D_28.02.16::Vente livres::1100::4000::189</v>
      </c>
      <c r="J6" s="33" t="s">
        <v>994</v>
      </c>
    </row>
    <row r="7" spans="1:10" ht="16" customHeight="1">
      <c r="A7" s="24"/>
      <c r="G7" s="24"/>
      <c r="I7" s="23" t="str">
        <f>relExtend(journal,"-%Montant","Montant2")</f>
        <v>Date::Label::Avoir::Devoir::Montant::Montant2 
_x000D_01.01.16::OUVERTURE CAISSE::1100::9000::225::-225 
_x000D_01.01.16::OUVERTURE CCP::1200::9000::6200.5::-6200.5 
_x000D_01.01.16::OUVERTURE Capital::9000::2800::6425.5::-6425.5 
_x000D_06.01.16::Vente livres::1100::4000::249::-249 
_x000D_07.01.16::Achat livres::3100::1200::480::-480 
_x000D_15.01.16::Vente livres::1100::4000::78::-78 
_x000D_20.01.16::Vente livres::1100::4000::145::-145 
_x000D_25.01.16::Salaire::3800::1200::750::-750 
_x000D_25.01.16::Achat livres::3100::1200::120::-120 
_x000D_26.01.16::Vente livres::1100::4000::22::-22 
_x000D_02.02.16::Vente livres::1100::4000::80::-80 
_x000D_04.01.16::Vente livres::1100::4000::245::-245 
_x000D_11.02.16::Vente livres::1100::4000::320::-320 
_x000D_16.02.16::Vente livres::1100::4000::110::-110 
_x000D_25.02.16::Salaire::3800::1200::750::-750 
_x000D_27.02.16::Vente livres::1100::4000::1250::-1250 
_x000D_28.02.16::Vente livres::1100::4000::189::-189</v>
      </c>
      <c r="J7" s="33" t="s">
        <v>995</v>
      </c>
    </row>
    <row r="8" spans="1:10" ht="16">
      <c r="A8" s="24"/>
      <c r="G8" s="24"/>
      <c r="I8" s="40" t="str">
        <f>relProject(I7,"Date::Label::Avoir::Montant")</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v>
      </c>
      <c r="J8" s="33" t="s">
        <v>996</v>
      </c>
    </row>
    <row r="9" spans="1:10" ht="16">
      <c r="A9" s="24"/>
      <c r="G9" s="24"/>
      <c r="I9" s="40" t="str">
        <f>relRename(relProject(I7,"Date::Label::Devoir::Montant2"),"Devoir Avoir::Montant2 Montant")</f>
        <v>Date::Label::Avoir::Montant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v>
      </c>
      <c r="J9" s="33" t="s">
        <v>997</v>
      </c>
    </row>
    <row r="10" spans="1:10" ht="112.25" customHeight="1">
      <c r="A10" s="24"/>
      <c r="G10" s="24"/>
      <c r="I10" s="19" t="str">
        <f>relUnion(I8,I9)</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v>
      </c>
      <c r="J10" s="33" t="s">
        <v>998</v>
      </c>
    </row>
    <row r="11" spans="1:10" ht="113.5" customHeight="1">
      <c r="A11" s="24"/>
      <c r="G11" s="24"/>
      <c r="I11" s="19" t="str">
        <f>relFilter(I10,"P Avoir::Montant SUM","R Avoir Compte",G24:H32,"J NATURAL","E Groupe LEFT($Compte,1)")</f>
        <v>Compte::Montant_sum::Label::Groupe 
_x000D_3100::600::Achats::3 
_x000D_3800::1500::Salaires::3 
_x000D_1100::2913::Caisse::1 
_x000D_9000::0::Ouverture::9 
_x000D_2800::-6425.5::Capital::2 
_x000D_1200::4100.5::CCP::1 
_x000D_4000::-2688::Vente::4</v>
      </c>
      <c r="J11" s="33" t="s">
        <v>999</v>
      </c>
    </row>
    <row r="12" spans="1:10" ht="16">
      <c r="A12" s="24"/>
      <c r="G12" s="24"/>
      <c r="I12" s="40" t="str">
        <f>relFilter($I$11,"S %Groupe=1","E Avoir %Montant_sum","E Devoir """"","P Compte::Label::Avoir::Devoir")</f>
        <v>Compte::Label::Avoir::Devoir 
_x000D_1100::Caisse::2913:: 
_x000D_1200::CCP::4100.5::</v>
      </c>
      <c r="J12" s="33" t="s">
        <v>1000</v>
      </c>
    </row>
    <row r="13" spans="1:10" ht="16">
      <c r="A13" s="24"/>
      <c r="G13" s="24"/>
      <c r="I13" s="40" t="str">
        <f>relFilter($I$11,"S %Groupe=2","E Devoir -%Montant_sum","E Avoir """"","P Compte::Label::Avoir::Devoir")</f>
        <v>Compte::Label::Avoir::Devoir 
_x000D_2800::Capital::::6425.5</v>
      </c>
      <c r="J13" s="33" t="s">
        <v>1001</v>
      </c>
    </row>
    <row r="14" spans="1:10" ht="16">
      <c r="A14" s="24"/>
      <c r="G14" s="24"/>
      <c r="I14" s="40" t="str">
        <f>relFilter($I$11,"S %Groupe=3","E Avoir %Montant_sum","E Devoir """"","P Compte::Label::Avoir::Devoir")</f>
        <v>Compte::Label::Avoir::Devoir 
_x000D_3100::Achats::600:: 
_x000D_3800::Salaires::1500::</v>
      </c>
      <c r="J14" s="33" t="s">
        <v>1002</v>
      </c>
    </row>
    <row r="15" spans="1:10" ht="16">
      <c r="A15" s="24"/>
      <c r="G15" s="24"/>
      <c r="I15" s="40" t="str">
        <f>relFilter($I$11,"S %Groupe=4","E Devoir -%Montant_sum","E Avoir """"","P Compte::Label::Avoir::Devoir")</f>
        <v>Compte::Label::Avoir::Devoir 
_x000D_4000::Vente::::2688</v>
      </c>
      <c r="J15" s="33" t="s">
        <v>1003</v>
      </c>
    </row>
    <row r="16" spans="1:10" ht="16">
      <c r="A16" s="24"/>
      <c r="G16" s="24"/>
      <c r="I16" s="40">
        <f>relFilter(I12,"P Avoir SUM","Z")</f>
        <v>7013.5</v>
      </c>
      <c r="J16" s="33" t="s">
        <v>1004</v>
      </c>
    </row>
    <row r="17" spans="1:10" ht="16">
      <c r="A17" s="24"/>
      <c r="G17" s="24"/>
      <c r="I17" s="40">
        <f>relFilter(I13,"P Devoir SUM","Z")</f>
        <v>6425.5</v>
      </c>
      <c r="J17" s="33" t="s">
        <v>1005</v>
      </c>
    </row>
    <row r="18" spans="1:10" ht="16">
      <c r="A18" s="24"/>
      <c r="G18" s="24"/>
      <c r="I18" s="40">
        <f>relFilter(I14,"P Avoir SUM","Z")</f>
        <v>2100</v>
      </c>
      <c r="J18" s="33" t="s">
        <v>1006</v>
      </c>
    </row>
    <row r="19" spans="1:10" ht="16">
      <c r="A19" s="24"/>
      <c r="G19" s="24"/>
      <c r="I19" s="40">
        <f>relFilter(I15,"P Devoir SUM","Z")</f>
        <v>2688</v>
      </c>
      <c r="J19" s="33" t="s">
        <v>1007</v>
      </c>
    </row>
    <row r="20" spans="1:10" ht="16">
      <c r="A20" s="24"/>
      <c r="G20" s="24"/>
      <c r="I20" s="40" t="str">
        <f>"::PROFIT:: ::"&amp;TEXT(I16-I17,"-0.00")</f>
        <v>::PROFIT:: ::-588.00</v>
      </c>
      <c r="J20" s="33" t="s">
        <v>1008</v>
      </c>
    </row>
    <row r="21" spans="1:10" ht="16">
      <c r="A21" s="24"/>
      <c r="G21" s="24"/>
      <c r="I21" s="40" t="str">
        <f>"::PROFIT::"&amp;TEXT(I19-I18,"-0.00")&amp;"::"</f>
        <v>::PROFIT::-588.00::</v>
      </c>
      <c r="J21" s="33" t="s">
        <v>1008</v>
      </c>
    </row>
    <row r="22" spans="1:10" ht="16">
      <c r="A22" s="24"/>
      <c r="G22" s="24"/>
      <c r="I22" s="40" t="str">
        <f>"::TOTAL::"&amp;I17&amp;"::"&amp;I17</f>
        <v>::TOTAL::6425.5::6425.5</v>
      </c>
      <c r="J22" s="33" t="s">
        <v>1009</v>
      </c>
    </row>
    <row r="23" spans="1:10" ht="16">
      <c r="A23" s="24"/>
      <c r="G23" s="24"/>
      <c r="I23" s="40" t="str">
        <f>"::TOTAL::"&amp;I19&amp;"::"&amp;I19</f>
        <v>::TOTAL::2688::2688</v>
      </c>
      <c r="J23" s="33" t="s">
        <v>1010</v>
      </c>
    </row>
    <row r="24" spans="1:10" ht="16">
      <c r="A24" t="s">
        <v>1011</v>
      </c>
      <c r="B24" s="45" t="s">
        <v>1012</v>
      </c>
      <c r="C24" s="45" t="s">
        <v>1013</v>
      </c>
      <c r="D24" s="45" t="s">
        <v>1014</v>
      </c>
      <c r="E24" s="45" t="s">
        <v>1015</v>
      </c>
      <c r="G24" s="45" t="s">
        <v>1016</v>
      </c>
      <c r="H24" s="45" t="s">
        <v>1012</v>
      </c>
      <c r="I24" s="40"/>
      <c r="J24" s="24"/>
    </row>
    <row r="25" spans="1:10" ht="16">
      <c r="A25" s="41">
        <v>42370</v>
      </c>
      <c r="B25" s="45" t="s">
        <v>1017</v>
      </c>
      <c r="C25" s="45">
        <v>1100</v>
      </c>
      <c r="D25" s="45">
        <v>9000</v>
      </c>
      <c r="E25" s="52">
        <v>225</v>
      </c>
      <c r="F25" s="42"/>
      <c r="G25" s="45">
        <v>1100</v>
      </c>
      <c r="H25" s="45" t="s">
        <v>1018</v>
      </c>
      <c r="I25" s="40"/>
      <c r="J25" s="24"/>
    </row>
    <row r="26" spans="1:10" ht="16">
      <c r="A26" s="41">
        <v>42370</v>
      </c>
      <c r="B26" s="45" t="s">
        <v>1019</v>
      </c>
      <c r="C26" s="45">
        <v>1200</v>
      </c>
      <c r="D26" s="45">
        <v>9000</v>
      </c>
      <c r="E26" s="52">
        <v>6200.5</v>
      </c>
      <c r="G26" s="45">
        <v>1200</v>
      </c>
      <c r="H26" s="45" t="s">
        <v>1020</v>
      </c>
      <c r="I26" s="40"/>
      <c r="J26" s="24"/>
    </row>
    <row r="27" spans="1:10" ht="16">
      <c r="A27" s="41">
        <v>42370</v>
      </c>
      <c r="B27" s="45" t="s">
        <v>1021</v>
      </c>
      <c r="C27" s="45">
        <v>9000</v>
      </c>
      <c r="D27" s="45">
        <v>2800</v>
      </c>
      <c r="E27" s="52">
        <v>6425.5</v>
      </c>
      <c r="G27" s="45">
        <v>2800</v>
      </c>
      <c r="H27" s="45" t="s">
        <v>1022</v>
      </c>
      <c r="I27" s="40"/>
      <c r="J27" s="24"/>
    </row>
    <row r="28" spans="1:10" ht="16">
      <c r="A28" s="41">
        <v>42375</v>
      </c>
      <c r="B28" s="45" t="s">
        <v>1023</v>
      </c>
      <c r="C28" s="45">
        <v>1100</v>
      </c>
      <c r="D28" s="45">
        <v>4000</v>
      </c>
      <c r="E28" s="52">
        <v>249</v>
      </c>
      <c r="G28" s="45">
        <v>3100</v>
      </c>
      <c r="H28" s="45" t="s">
        <v>1024</v>
      </c>
      <c r="I28" s="40"/>
      <c r="J28" s="24"/>
    </row>
    <row r="29" spans="1:10" ht="16">
      <c r="A29" s="41">
        <v>42376</v>
      </c>
      <c r="B29" s="45" t="s">
        <v>1025</v>
      </c>
      <c r="C29" s="45">
        <v>3100</v>
      </c>
      <c r="D29" s="45">
        <v>1200</v>
      </c>
      <c r="E29" s="52">
        <v>480</v>
      </c>
      <c r="G29" s="45">
        <v>3800</v>
      </c>
      <c r="H29" s="45" t="s">
        <v>1026</v>
      </c>
      <c r="I29" s="40"/>
      <c r="J29" s="24"/>
    </row>
    <row r="30" spans="1:10" ht="16">
      <c r="A30" s="41">
        <v>42384</v>
      </c>
      <c r="B30" s="45" t="s">
        <v>1023</v>
      </c>
      <c r="C30" s="45">
        <v>1100</v>
      </c>
      <c r="D30" s="45">
        <v>4000</v>
      </c>
      <c r="E30" s="52">
        <v>78</v>
      </c>
      <c r="G30" s="45">
        <v>4000</v>
      </c>
      <c r="H30" s="45" t="s">
        <v>1027</v>
      </c>
      <c r="I30" s="40"/>
      <c r="J30" s="24"/>
    </row>
    <row r="31" spans="1:10" ht="16">
      <c r="A31" s="41">
        <v>42389</v>
      </c>
      <c r="B31" s="45" t="s">
        <v>1023</v>
      </c>
      <c r="C31" s="45">
        <v>1100</v>
      </c>
      <c r="D31" s="45">
        <v>4000</v>
      </c>
      <c r="E31" s="52">
        <v>145</v>
      </c>
      <c r="G31" s="45">
        <v>9000</v>
      </c>
      <c r="H31" s="45" t="s">
        <v>1028</v>
      </c>
      <c r="I31" s="40"/>
      <c r="J31" s="24"/>
    </row>
    <row r="32" spans="1:10" ht="16">
      <c r="A32" s="41">
        <v>42394</v>
      </c>
      <c r="B32" s="45" t="s">
        <v>1029</v>
      </c>
      <c r="C32" s="45">
        <v>3800</v>
      </c>
      <c r="D32" s="45">
        <v>1200</v>
      </c>
      <c r="E32" s="52">
        <v>750</v>
      </c>
      <c r="G32" s="45">
        <v>9001</v>
      </c>
      <c r="H32" s="45" t="s">
        <v>1030</v>
      </c>
      <c r="I32" s="40"/>
      <c r="J32" s="24"/>
    </row>
    <row r="33" spans="1:10" ht="16">
      <c r="A33" s="41">
        <v>42394</v>
      </c>
      <c r="B33" s="45" t="s">
        <v>1025</v>
      </c>
      <c r="C33" s="45">
        <v>3100</v>
      </c>
      <c r="D33" s="45">
        <v>1200</v>
      </c>
      <c r="E33" s="52">
        <v>120</v>
      </c>
      <c r="I33" s="40"/>
      <c r="J33" s="24"/>
    </row>
    <row r="34" spans="1:10" ht="16">
      <c r="A34" s="41">
        <v>42395</v>
      </c>
      <c r="B34" s="45" t="s">
        <v>1023</v>
      </c>
      <c r="C34" s="45">
        <v>1100</v>
      </c>
      <c r="D34" s="45">
        <v>4000</v>
      </c>
      <c r="E34" s="52">
        <v>22</v>
      </c>
      <c r="I34" s="40"/>
      <c r="J34" s="24"/>
    </row>
    <row r="35" spans="1:10" ht="16">
      <c r="A35" s="41">
        <v>42402</v>
      </c>
      <c r="B35" s="45" t="s">
        <v>1023</v>
      </c>
      <c r="C35" s="45">
        <v>1100</v>
      </c>
      <c r="D35" s="45">
        <v>4000</v>
      </c>
      <c r="E35" s="52">
        <v>80</v>
      </c>
      <c r="I35" s="40"/>
      <c r="J35" s="24"/>
    </row>
    <row r="36" spans="1:10" ht="16">
      <c r="A36" s="41">
        <v>42373</v>
      </c>
      <c r="B36" s="45" t="s">
        <v>1023</v>
      </c>
      <c r="C36" s="45">
        <v>1100</v>
      </c>
      <c r="D36" s="45">
        <v>4000</v>
      </c>
      <c r="E36" s="52">
        <v>245</v>
      </c>
      <c r="I36" s="40"/>
      <c r="J36" s="24"/>
    </row>
    <row r="37" spans="1:10" ht="16">
      <c r="A37" s="41">
        <v>42411</v>
      </c>
      <c r="B37" s="45" t="s">
        <v>1023</v>
      </c>
      <c r="C37" s="45">
        <v>1100</v>
      </c>
      <c r="D37" s="45">
        <v>4000</v>
      </c>
      <c r="E37" s="52">
        <v>320</v>
      </c>
      <c r="I37" s="40"/>
      <c r="J37" s="24"/>
    </row>
    <row r="38" spans="1:10" ht="16">
      <c r="A38" s="41">
        <v>42416</v>
      </c>
      <c r="B38" s="45" t="s">
        <v>1023</v>
      </c>
      <c r="C38" s="45">
        <v>1100</v>
      </c>
      <c r="D38" s="45">
        <v>4000</v>
      </c>
      <c r="E38" s="52">
        <v>110</v>
      </c>
      <c r="I38" s="40"/>
      <c r="J38" s="24"/>
    </row>
    <row r="39" spans="1:10" ht="16">
      <c r="A39" s="41">
        <v>42425</v>
      </c>
      <c r="B39" s="45" t="s">
        <v>1029</v>
      </c>
      <c r="C39" s="45">
        <v>3800</v>
      </c>
      <c r="D39" s="45">
        <v>1200</v>
      </c>
      <c r="E39" s="52">
        <v>750</v>
      </c>
      <c r="I39" s="40"/>
      <c r="J39" s="24"/>
    </row>
    <row r="40" spans="1:10" ht="16">
      <c r="A40" s="41">
        <v>42427</v>
      </c>
      <c r="B40" s="45" t="s">
        <v>1023</v>
      </c>
      <c r="C40" s="45">
        <v>1100</v>
      </c>
      <c r="D40" s="45">
        <v>4000</v>
      </c>
      <c r="E40" s="52">
        <v>1250</v>
      </c>
      <c r="I40" s="40"/>
      <c r="J40" s="24"/>
    </row>
    <row r="41" spans="1:10" ht="16">
      <c r="A41" s="41">
        <v>42428</v>
      </c>
      <c r="B41" s="45" t="s">
        <v>1023</v>
      </c>
      <c r="C41" s="45">
        <v>1100</v>
      </c>
      <c r="D41" s="45">
        <v>4000</v>
      </c>
      <c r="E41" s="52">
        <v>189</v>
      </c>
      <c r="I41" s="40"/>
      <c r="J41" s="24"/>
    </row>
    <row r="42" spans="1:10" ht="16">
      <c r="I42" s="40"/>
      <c r="J42" s="24"/>
    </row>
    <row r="43" spans="1:10" ht="16">
      <c r="H43" s="42"/>
      <c r="I43" s="40"/>
      <c r="J43" s="24"/>
    </row>
    <row r="44" spans="1:10" ht="16">
      <c r="I44" s="40"/>
      <c r="J44" s="24"/>
    </row>
    <row r="45" spans="1:10" ht="16">
      <c r="I45" s="40"/>
      <c r="J45" s="24"/>
    </row>
    <row r="46" spans="1:10" ht="16">
      <c r="I46" s="40"/>
      <c r="J46" s="24"/>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3"/>
  <dimension ref="A1:G40"/>
  <sheetViews>
    <sheetView topLeftCell="A17" workbookViewId="0">
      <selection activeCell="A18" sqref="A18"/>
    </sheetView>
  </sheetViews>
  <sheetFormatPr baseColWidth="10" defaultRowHeight="14"/>
  <cols>
    <col min="2" max="2" width="48.33203125" customWidth="1"/>
  </cols>
  <sheetData>
    <row r="1" spans="1:6" ht="16">
      <c r="A1" s="24" t="s">
        <v>1031</v>
      </c>
    </row>
    <row r="3" spans="1:6">
      <c r="D3" s="45" t="s">
        <v>896</v>
      </c>
      <c r="E3" s="45" t="s">
        <v>1032</v>
      </c>
      <c r="F3" s="45" t="s">
        <v>1033</v>
      </c>
    </row>
    <row r="4" spans="1:6">
      <c r="D4" s="45">
        <v>1133311</v>
      </c>
      <c r="E4" s="45">
        <v>1000</v>
      </c>
      <c r="F4" s="45"/>
    </row>
    <row r="5" spans="1:6">
      <c r="D5" s="45">
        <v>1212223</v>
      </c>
      <c r="E5" s="45">
        <v>1100</v>
      </c>
      <c r="F5" s="45">
        <v>1000</v>
      </c>
    </row>
    <row r="6" spans="1:6">
      <c r="D6" s="45">
        <v>1311332</v>
      </c>
      <c r="E6" s="45">
        <v>1200</v>
      </c>
      <c r="F6" s="45">
        <v>1000</v>
      </c>
    </row>
    <row r="7" spans="1:6">
      <c r="D7" s="45">
        <v>1201301</v>
      </c>
      <c r="E7" s="45">
        <v>1210</v>
      </c>
      <c r="F7" s="45">
        <v>1200</v>
      </c>
    </row>
    <row r="8" spans="1:6">
      <c r="D8" s="45">
        <v>1390131</v>
      </c>
      <c r="E8" s="45">
        <v>1220</v>
      </c>
      <c r="F8" s="45">
        <v>1200</v>
      </c>
    </row>
    <row r="9" spans="1:6">
      <c r="D9" s="45">
        <v>1901311</v>
      </c>
      <c r="E9" s="45">
        <v>1211</v>
      </c>
      <c r="F9" s="45">
        <v>1210</v>
      </c>
    </row>
    <row r="10" spans="1:6">
      <c r="D10" s="45">
        <v>1031010</v>
      </c>
      <c r="E10" s="45">
        <v>1212</v>
      </c>
      <c r="F10" s="45">
        <v>1210</v>
      </c>
    </row>
    <row r="11" spans="1:6">
      <c r="D11" s="45">
        <v>1391931</v>
      </c>
      <c r="E11" s="45">
        <v>1213</v>
      </c>
      <c r="F11" s="45">
        <v>1210</v>
      </c>
    </row>
    <row r="12" spans="1:6" ht="16">
      <c r="B12" s="24" t="str">
        <f ca="1">_xlfn.FORMULATEXT(B13)</f>
        <v>=relRange(D3:F11)</v>
      </c>
    </row>
    <row r="13" spans="1:6">
      <c r="B13" t="str">
        <f>relRange(D3:F11)</f>
        <v>ssn::employee::manager 
_x000D_1133311::1000:: 
_x000D_1212223::1100::1000 
_x000D_1311332::1200::1000 
_x000D_1201301::1210::1200 
_x000D_1390131::1220::1200 
_x000D_1901311::1211::1210 
_x000D_1031010::1212::1210 
_x000D_1391931::1213::1210</v>
      </c>
    </row>
    <row r="14" spans="1:6" ht="16">
      <c r="B14" s="24" t="str">
        <f ca="1">_xlfn.FORMULATEXT(B15)</f>
        <v>=relFixpoint(B13,C14,D14,E14)</v>
      </c>
      <c r="C14" t="s">
        <v>1033</v>
      </c>
      <c r="E14" t="s">
        <v>1032</v>
      </c>
    </row>
    <row r="15" spans="1:6" ht="111" customHeight="1">
      <c r="B15" s="19" t="str">
        <f>relFixpoint(B13,C14,D14,E14)</f>
        <v>ssn::employee::manager 
_x000D_1133311::1000:: 
_x000D_1212223::1100::1000 
_x000D_1311332::1200::1000 
_x000D_1201301::1210::1200 
_x000D_1390131::1220::1200 
_x000D_1901311::1211::1210 
_x000D_1031010::1212::1210 
_x000D_1391931::1213::1210</v>
      </c>
    </row>
    <row r="16" spans="1:6" ht="16">
      <c r="B16" s="24" t="str">
        <f ca="1">_xlfn.FORMULATEXT(B17)</f>
        <v>=relFixpoint(B13,C16,D16,E16)</v>
      </c>
      <c r="C16" t="s">
        <v>1032</v>
      </c>
      <c r="D16">
        <v>1211</v>
      </c>
      <c r="E16" t="s">
        <v>1033</v>
      </c>
    </row>
    <row r="17" spans="1:7" ht="99" customHeight="1">
      <c r="B17" s="19" t="str">
        <f>relFixpoint(B13,C16,D16,E16)</f>
        <v>ssn::employee::manager 
_x000D_1901311::1211::1210 
_x000D_1201301::1210::1200 
_x000D_1311332::1200::1000 
_x000D_1133311::1000::</v>
      </c>
    </row>
    <row r="18" spans="1:7">
      <c r="A18" t="s">
        <v>1034</v>
      </c>
    </row>
    <row r="19" spans="1:7">
      <c r="A19" t="s">
        <v>1035</v>
      </c>
    </row>
    <row r="20" spans="1:7">
      <c r="A20" t="s">
        <v>1036</v>
      </c>
    </row>
    <row r="21" spans="1:7">
      <c r="D21" s="45" t="s">
        <v>1037</v>
      </c>
      <c r="E21" s="45" t="s">
        <v>1038</v>
      </c>
      <c r="F21" s="45" t="s">
        <v>1039</v>
      </c>
      <c r="G21" s="45" t="s">
        <v>1040</v>
      </c>
    </row>
    <row r="22" spans="1:7">
      <c r="D22" s="45" t="s">
        <v>1041</v>
      </c>
      <c r="E22" s="45" t="s">
        <v>1042</v>
      </c>
      <c r="F22" s="45" t="s">
        <v>1043</v>
      </c>
      <c r="G22" s="45" t="s">
        <v>1044</v>
      </c>
    </row>
    <row r="23" spans="1:7">
      <c r="D23" s="45" t="s">
        <v>1045</v>
      </c>
      <c r="E23" s="45" t="s">
        <v>838</v>
      </c>
      <c r="F23" s="45" t="s">
        <v>1046</v>
      </c>
      <c r="G23" s="45" t="s">
        <v>1047</v>
      </c>
    </row>
    <row r="24" spans="1:7">
      <c r="D24" s="45" t="s">
        <v>911</v>
      </c>
      <c r="E24" s="45" t="s">
        <v>1042</v>
      </c>
      <c r="F24" s="45" t="s">
        <v>1046</v>
      </c>
      <c r="G24" s="45" t="s">
        <v>1047</v>
      </c>
    </row>
    <row r="25" spans="1:7">
      <c r="D25" s="45" t="s">
        <v>1046</v>
      </c>
      <c r="E25" s="45" t="s">
        <v>838</v>
      </c>
      <c r="F25" s="45" t="s">
        <v>1048</v>
      </c>
      <c r="G25" s="45" t="s">
        <v>1049</v>
      </c>
    </row>
    <row r="26" spans="1:7">
      <c r="D26" s="45" t="s">
        <v>1044</v>
      </c>
      <c r="E26" s="45" t="s">
        <v>1042</v>
      </c>
      <c r="F26" s="45" t="s">
        <v>1050</v>
      </c>
      <c r="G26" s="45" t="s">
        <v>1051</v>
      </c>
    </row>
    <row r="27" spans="1:7" ht="16">
      <c r="B27" s="24" t="str">
        <f ca="1">_xlfn.FORMULATEXT(B28)</f>
        <v>=relRange(D21:G26)</v>
      </c>
    </row>
    <row r="28" spans="1:7" ht="97.75" customHeight="1">
      <c r="B28" s="19" t="str">
        <f>relRange(D21:G26)</f>
        <v>child::sex::mother::father 
_x000D_Bob::M::Alice::Curt 
_x000D_Diana::F::Elisabeth::Frank 
_x000D_George::M::Elisabeth::Frank 
_x000D_Elisabeth::F::Heather::Ian 
_x000D_Curt::M::Julie::Karl</v>
      </c>
    </row>
    <row r="29" spans="1:7" ht="16">
      <c r="B29" s="24" t="str">
        <f ca="1">_xlfn.FORMULATEXT(B30)</f>
        <v>=relFixpoint(B28,"child","Bob","father")</v>
      </c>
    </row>
    <row r="30" spans="1:7" ht="51.5" customHeight="1">
      <c r="B30" s="19" t="str">
        <f>relFixpoint(B28,"child","Bob","father")</f>
        <v>child::sex::mother::father 
_x000D_Bob::M::Alice::Curt 
_x000D_Curt::M::Julie::Karl</v>
      </c>
    </row>
    <row r="31" spans="1:7">
      <c r="D31" s="45" t="s">
        <v>1052</v>
      </c>
      <c r="E31" s="45" t="s">
        <v>1053</v>
      </c>
      <c r="F31" s="45" t="s">
        <v>1054</v>
      </c>
      <c r="G31" s="45" t="s">
        <v>1055</v>
      </c>
    </row>
    <row r="32" spans="1:7">
      <c r="D32" s="45" t="s">
        <v>1056</v>
      </c>
      <c r="E32" s="45" t="s">
        <v>1057</v>
      </c>
      <c r="F32" s="45" t="s">
        <v>1058</v>
      </c>
      <c r="G32" s="45" t="s">
        <v>1059</v>
      </c>
    </row>
    <row r="33" spans="2:7">
      <c r="D33" s="45" t="s">
        <v>1056</v>
      </c>
      <c r="E33" s="45" t="s">
        <v>1057</v>
      </c>
      <c r="F33" s="45" t="s">
        <v>1060</v>
      </c>
      <c r="G33" s="45" t="s">
        <v>1061</v>
      </c>
    </row>
    <row r="34" spans="2:7">
      <c r="D34" s="45" t="s">
        <v>1057</v>
      </c>
      <c r="E34" s="45" t="s">
        <v>1062</v>
      </c>
      <c r="F34" s="45" t="s">
        <v>1060</v>
      </c>
      <c r="G34" s="45" t="s">
        <v>1063</v>
      </c>
    </row>
    <row r="35" spans="2:7">
      <c r="D35" s="45" t="s">
        <v>1057</v>
      </c>
      <c r="E35" s="45" t="s">
        <v>1064</v>
      </c>
      <c r="F35" s="45" t="s">
        <v>1065</v>
      </c>
      <c r="G35" s="45" t="s">
        <v>1066</v>
      </c>
    </row>
    <row r="36" spans="2:7">
      <c r="D36" s="45" t="s">
        <v>1056</v>
      </c>
      <c r="E36" s="45" t="s">
        <v>1064</v>
      </c>
      <c r="F36" s="45" t="s">
        <v>1067</v>
      </c>
      <c r="G36" s="45" t="s">
        <v>1068</v>
      </c>
    </row>
    <row r="37" spans="2:7" ht="16">
      <c r="B37" s="24" t="str">
        <f ca="1">_xlfn.FORMULATEXT(B38)</f>
        <v>=relRange(D31:G36)</v>
      </c>
    </row>
    <row r="38" spans="2:7" ht="90">
      <c r="B38" s="19" t="str">
        <f>relRange(D31:G36)</f>
        <v>from::to::departure::destination 
_x000D_ZRH::GVA::07H00::07H30 
_x000D_ZRH::GVA::08H00::08H30 
_x000D_GVA::CPX::08H00::09H30 
_x000D_GVA::NIC::09H00::11H00 
_x000D_ZRH::NIC::10H00::11H30</v>
      </c>
    </row>
    <row r="39" spans="2:7" ht="16">
      <c r="B39" s="24" t="str">
        <f ca="1">_xlfn.FORMULATEXT(B40)</f>
        <v>=relFixpoint(B38,"from","ZRH","to")</v>
      </c>
    </row>
    <row r="40" spans="2:7" ht="90">
      <c r="B40" s="23" t="str">
        <f>relFixpoint(B38,"from","ZRH","to")</f>
        <v>from::to::departure::destination 
_x000D_ZRH::GVA::07H00::07H30 
_x000D_ZRH::GVA::08H00::08H30 
_x000D_ZRH::NIC::10H00::11H30 
_x000D_GVA::CPX::08H00::09H30 
_x000D_GVA::NIC::09H00::11H00</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dimension ref="A1:K112"/>
  <sheetViews>
    <sheetView topLeftCell="A20" workbookViewId="0">
      <selection activeCell="D34" sqref="D34"/>
    </sheetView>
  </sheetViews>
  <sheetFormatPr baseColWidth="10" defaultRowHeight="14"/>
  <cols>
    <col min="1" max="1" width="33.1640625" customWidth="1"/>
    <col min="2" max="2" width="56.5" customWidth="1"/>
    <col min="3" max="3" width="10.33203125" style="40" customWidth="1"/>
    <col min="4" max="4" width="51.1640625" customWidth="1"/>
  </cols>
  <sheetData>
    <row r="1" spans="1:11" ht="16">
      <c r="A1" s="24" t="s">
        <v>1069</v>
      </c>
      <c r="E1" s="45" t="s">
        <v>969</v>
      </c>
      <c r="F1" s="45" t="s">
        <v>970</v>
      </c>
      <c r="G1" s="45" t="s">
        <v>787</v>
      </c>
      <c r="H1" s="45" t="s">
        <v>971</v>
      </c>
      <c r="I1" s="45" t="s">
        <v>972</v>
      </c>
      <c r="J1" s="45" t="s">
        <v>971</v>
      </c>
      <c r="K1" s="45" t="s">
        <v>972</v>
      </c>
    </row>
    <row r="2" spans="1:11">
      <c r="E2" s="45">
        <v>1</v>
      </c>
      <c r="F2" s="45" t="s">
        <v>790</v>
      </c>
      <c r="G2" s="45">
        <v>240</v>
      </c>
      <c r="H2" s="45">
        <v>1</v>
      </c>
      <c r="I2" s="45" t="s">
        <v>789</v>
      </c>
      <c r="J2" s="45">
        <v>2</v>
      </c>
      <c r="K2" s="45" t="s">
        <v>791</v>
      </c>
    </row>
    <row r="3" spans="1:11">
      <c r="E3" s="45">
        <v>2</v>
      </c>
      <c r="F3" s="45" t="s">
        <v>792</v>
      </c>
      <c r="G3" s="45">
        <v>120</v>
      </c>
      <c r="H3" s="45">
        <v>2</v>
      </c>
      <c r="I3" s="45" t="s">
        <v>791</v>
      </c>
      <c r="J3" s="45">
        <v>3</v>
      </c>
      <c r="K3" s="45" t="s">
        <v>793</v>
      </c>
    </row>
    <row r="4" spans="1:11">
      <c r="E4" s="45">
        <v>3</v>
      </c>
      <c r="F4" s="45" t="s">
        <v>794</v>
      </c>
      <c r="G4" s="45">
        <v>150</v>
      </c>
      <c r="H4" s="45">
        <v>3</v>
      </c>
      <c r="I4" s="45" t="s">
        <v>793</v>
      </c>
      <c r="J4" s="45">
        <v>4</v>
      </c>
      <c r="K4" s="45" t="s">
        <v>795</v>
      </c>
    </row>
    <row r="5" spans="1:11">
      <c r="E5" s="45">
        <v>4</v>
      </c>
      <c r="F5" s="45" t="s">
        <v>796</v>
      </c>
      <c r="G5" s="45">
        <v>5</v>
      </c>
      <c r="H5" s="45">
        <v>4</v>
      </c>
      <c r="I5" s="45" t="s">
        <v>795</v>
      </c>
      <c r="J5" s="45" t="s">
        <v>1070</v>
      </c>
      <c r="K5" s="45" t="s">
        <v>797</v>
      </c>
    </row>
    <row r="6" spans="1:11">
      <c r="E6" s="45">
        <v>5</v>
      </c>
      <c r="F6" s="45" t="s">
        <v>798</v>
      </c>
      <c r="G6" s="45">
        <v>240</v>
      </c>
      <c r="H6" s="45">
        <v>5</v>
      </c>
      <c r="I6" s="45" t="s">
        <v>797</v>
      </c>
      <c r="J6" s="45" t="s">
        <v>1071</v>
      </c>
      <c r="K6" s="45" t="s">
        <v>799</v>
      </c>
    </row>
    <row r="7" spans="1:11">
      <c r="E7" s="45">
        <v>6</v>
      </c>
      <c r="F7" s="45" t="s">
        <v>800</v>
      </c>
      <c r="G7" s="45">
        <v>180</v>
      </c>
      <c r="H7" s="45">
        <v>6</v>
      </c>
      <c r="I7" s="45" t="s">
        <v>799</v>
      </c>
    </row>
    <row r="8" spans="1:11">
      <c r="E8" s="45">
        <v>7</v>
      </c>
      <c r="F8" s="45" t="s">
        <v>801</v>
      </c>
      <c r="G8" s="45">
        <v>90</v>
      </c>
    </row>
    <row r="9" spans="1:11">
      <c r="E9" s="45">
        <v>8</v>
      </c>
      <c r="F9" s="45" t="s">
        <v>802</v>
      </c>
      <c r="G9" s="45">
        <v>270</v>
      </c>
    </row>
    <row r="10" spans="1:11">
      <c r="E10" s="45">
        <v>9</v>
      </c>
      <c r="F10" s="45" t="s">
        <v>803</v>
      </c>
      <c r="G10" s="45">
        <v>66</v>
      </c>
    </row>
    <row r="11" spans="1:11">
      <c r="E11" s="45">
        <v>10</v>
      </c>
      <c r="F11" s="45" t="s">
        <v>804</v>
      </c>
      <c r="G11" s="45">
        <v>180</v>
      </c>
    </row>
    <row r="12" spans="1:11" ht="16">
      <c r="A12" t="s">
        <v>1072</v>
      </c>
      <c r="B12" t="s">
        <v>1073</v>
      </c>
      <c r="C12" s="40" t="s">
        <v>1074</v>
      </c>
      <c r="D12" t="s">
        <v>1075</v>
      </c>
      <c r="E12" s="24" t="s">
        <v>1076</v>
      </c>
    </row>
    <row r="13" spans="1:11" s="40" customFormat="1" ht="185" customHeight="1">
      <c r="A13" s="40" t="str">
        <f ca="1">_xlfn.FORMULATEXT(B13)</f>
        <v>=relRange(E1:G11)</v>
      </c>
      <c r="B13" s="19" t="str">
        <f>relRange(E1:G11)</f>
        <v>pid::pname::price 
_x000D_1::Hard drive::240 
_x000D_2::Memory::120 
_x000D_3::ZIP drive::150 
_x000D_4::Floppy disk::5 
_x000D_5::Monitor::240 
_x000D_6::DVD drive::180 
_x000D_7::CD drive::90 
_x000D_8::Printer::270 
_x000D_9::Toner cartridge::66 
_x000D_10::DVD burner::180</v>
      </c>
      <c r="C13" s="40" t="b">
        <f>(B13=D13)</f>
        <v>0</v>
      </c>
      <c r="D13" s="19" t="s">
        <v>1171</v>
      </c>
    </row>
    <row r="14" spans="1:11" ht="105">
      <c r="A14" s="40" t="str">
        <f t="shared" ref="A14:A77" ca="1" si="0">_xlfn.FORMULATEXT(B14)</f>
        <v>=relRange(H1:I7)</v>
      </c>
      <c r="B14" s="19" t="str">
        <f>relRange(H1:I7)</f>
        <v>eid::ename 
_x000D_1::Sony 
_x000D_2::Creative Labs 
_x000D_3::Hewlett Packard 
_x000D_4::Iomega 
_x000D_5::Fujitsu 
_x000D_6::Winchester</v>
      </c>
      <c r="C14" s="40" t="b">
        <f>(B14=D14)</f>
        <v>0</v>
      </c>
      <c r="D14" s="19" t="s">
        <v>1172</v>
      </c>
    </row>
    <row r="15" spans="1:11" ht="90">
      <c r="A15" s="40" t="str">
        <f t="shared" ca="1" si="0"/>
        <v>=relRange(J1:K6)</v>
      </c>
      <c r="B15" s="46" t="str">
        <f>relRange(J1:K6)</f>
        <v>eid::ename 
_x000D_2::Creative Labs 
_x000D_3::Hewlett Packard 
_x000D_4::Iomega 
_x000D_x::Fujitsu 
_x000D_y::Winchester</v>
      </c>
      <c r="C15" s="40" t="b">
        <f>(B15=D15)</f>
        <v>0</v>
      </c>
      <c r="D15" s="19" t="s">
        <v>1173</v>
      </c>
    </row>
    <row r="16" spans="1:11" ht="16">
      <c r="A16" s="40" t="str">
        <f t="shared" ca="1" si="0"/>
        <v>=relRange("blabla")</v>
      </c>
      <c r="B16" s="25" t="e">
        <f>relRange("blabla")</f>
        <v>#VALUE!</v>
      </c>
      <c r="C16" s="40" t="e">
        <f t="shared" ref="C16:C48" si="1">(B16=D16)</f>
        <v>#VALUE!</v>
      </c>
      <c r="D16" t="e">
        <v>#VALUE!</v>
      </c>
      <c r="E16" s="24" t="s">
        <v>1077</v>
      </c>
    </row>
    <row r="17" spans="1:5" ht="16">
      <c r="A17" s="40" t="str">
        <f t="shared" ca="1" si="0"/>
        <v>=relRange("1::Sony")</v>
      </c>
      <c r="B17" s="25" t="e">
        <f>relRange("1::Sony")</f>
        <v>#VALUE!</v>
      </c>
      <c r="C17" s="40" t="e">
        <f t="shared" si="1"/>
        <v>#VALUE!</v>
      </c>
      <c r="D17" t="e">
        <v>#VALUE!</v>
      </c>
      <c r="E17" s="24" t="s">
        <v>1077</v>
      </c>
    </row>
    <row r="18" spans="1:5" s="40" customFormat="1" ht="16">
      <c r="A18" s="40" t="str">
        <f t="shared" ca="1" si="0"/>
        <v>=relRange("eid::ename 
2::Creative Labs 
3::Hewlett Packard 
4::Iomega 
x::Fujitsu 
y::Winchester")</v>
      </c>
      <c r="B18" s="43" t="e">
        <f>relRange("eid::ename 
2::Creative Labs 
3::Hewlett Packard 
4::Iomega 
x::Fujitsu 
y::Winchester")</f>
        <v>#VALUE!</v>
      </c>
      <c r="C18" s="40" t="e">
        <f t="shared" si="1"/>
        <v>#VALUE!</v>
      </c>
      <c r="D18" s="40" t="e">
        <v>#VALUE!</v>
      </c>
      <c r="E18" s="24" t="s">
        <v>1077</v>
      </c>
    </row>
    <row r="19" spans="1:5" ht="16">
      <c r="A19" s="40" t="e">
        <f t="shared" ca="1" si="0"/>
        <v>#N/A</v>
      </c>
      <c r="B19" s="25"/>
    </row>
    <row r="20" spans="1:5" ht="60">
      <c r="A20" s="40" t="str">
        <f t="shared" ca="1" si="0"/>
        <v>=relSelect($B$13,"%01&lt;4")</v>
      </c>
      <c r="B20" s="19" t="str">
        <f>relSelect($B$13,"%01&lt;4")</f>
        <v>pid::pname::price 
_x000D_1::Hard drive::240 
_x000D_2::Memory::120 
_x000D_3::ZIP drive::150</v>
      </c>
      <c r="C20" s="40" t="b">
        <f t="shared" si="1"/>
        <v>0</v>
      </c>
      <c r="D20" s="19" t="s">
        <v>1174</v>
      </c>
    </row>
    <row r="21" spans="1:5" ht="60">
      <c r="A21" s="40" t="str">
        <f t="shared" ca="1" si="0"/>
        <v>=relSelect($B$13,"%pid&lt;4")</v>
      </c>
      <c r="B21" s="19" t="str">
        <f>relSelect($B$13,"%pid&lt;4")</f>
        <v>pid::pname::price 
_x000D_1::Hard drive::240 
_x000D_2::Memory::120 
_x000D_3::ZIP drive::150</v>
      </c>
      <c r="C21" s="40" t="b">
        <f t="shared" si="1"/>
        <v>0</v>
      </c>
      <c r="D21" s="19" t="s">
        <v>1174</v>
      </c>
    </row>
    <row r="22" spans="1:5" ht="16">
      <c r="A22" s="40" t="str">
        <f t="shared" ca="1" si="0"/>
        <v>=relSelect($B$13,"$pid&lt;4")</v>
      </c>
      <c r="B22" s="19" t="str">
        <f>relSelect($B$13,"$pid&lt;4")</f>
        <v>pid::pname::price</v>
      </c>
      <c r="C22" s="40" t="b">
        <f t="shared" si="1"/>
        <v>1</v>
      </c>
      <c r="D22" s="19" t="s">
        <v>1078</v>
      </c>
      <c r="E22" s="24" t="s">
        <v>1079</v>
      </c>
    </row>
    <row r="23" spans="1:5" ht="45">
      <c r="A23" s="40" t="str">
        <f t="shared" ca="1" si="0"/>
        <v>=relSelect($B$13,"LEFT($pname,1)=""M""")</v>
      </c>
      <c r="B23" s="19" t="str">
        <f>relSelect($B$13,"LEFT($pname,1)=""M""")</f>
        <v>pid::pname::price 
_x000D_2::Memory::120 
_x000D_5::Monitor::240</v>
      </c>
      <c r="C23" s="40" t="b">
        <f t="shared" si="1"/>
        <v>1</v>
      </c>
      <c r="D23" s="19" t="str">
        <f>relSelect($B$13,"LEFT($pname,1)=""M""")</f>
        <v>pid::pname::price 
_x000D_2::Memory::120 
_x000D_5::Monitor::240</v>
      </c>
    </row>
    <row r="24" spans="1:5" ht="16">
      <c r="A24" s="40" t="str">
        <f t="shared" ca="1" si="0"/>
        <v>=relSelect($B$13,"LEFT($pname,1)=""X""")</v>
      </c>
      <c r="B24" s="19" t="str">
        <f>relSelect($B$13,"LEFT($pname,1)=""X""")</f>
        <v>pid::pname::price</v>
      </c>
      <c r="C24" s="40" t="b">
        <f t="shared" si="1"/>
        <v>1</v>
      </c>
      <c r="D24" s="19" t="s">
        <v>1078</v>
      </c>
      <c r="E24" s="24" t="s">
        <v>1080</v>
      </c>
    </row>
    <row r="25" spans="1:5" ht="16">
      <c r="A25" s="40" t="str">
        <f t="shared" ca="1" si="0"/>
        <v>=relSelect($B$13,"LEFT(%pname,1)=""M""")</v>
      </c>
      <c r="B25" s="19" t="str">
        <f>relSelect($B$13,"LEFT(%pname,1)=""M""")</f>
        <v>pid::pname::price</v>
      </c>
      <c r="C25" s="40" t="b">
        <f t="shared" si="1"/>
        <v>1</v>
      </c>
      <c r="D25" s="19" t="s">
        <v>1078</v>
      </c>
      <c r="E25" s="24" t="s">
        <v>1081</v>
      </c>
    </row>
    <row r="26" spans="1:5" ht="16">
      <c r="A26" s="40" t="str">
        <f t="shared" ca="1" si="0"/>
        <v>=relSelect($C$4,"LEFT($pname,1)=""X""")</v>
      </c>
      <c r="B26" t="str">
        <f>relSelect($C$4,"LEFT($pname,1)=""X""")</f>
        <v/>
      </c>
      <c r="C26" s="40" t="b">
        <f t="shared" si="1"/>
        <v>1</v>
      </c>
      <c r="E26" s="24" t="s">
        <v>1082</v>
      </c>
    </row>
    <row r="27" spans="1:5" s="24" customFormat="1" ht="16">
      <c r="A27" s="40" t="str">
        <f t="shared" ca="1" si="0"/>
        <v>=relSelect($C$4:$C$5,"LEFT($pname,1)=""X""")</v>
      </c>
      <c r="B27" s="26" t="e">
        <f>relSelect($C$4:$C$5,"LEFT($pname,1)=""X""")</f>
        <v>#VALUE!</v>
      </c>
      <c r="C27" s="44" t="e">
        <f t="shared" si="1"/>
        <v>#VALUE!</v>
      </c>
      <c r="D27" s="26" t="e">
        <v>#VALUE!</v>
      </c>
      <c r="E27" s="24" t="s">
        <v>1083</v>
      </c>
    </row>
    <row r="28" spans="1:5" ht="16">
      <c r="A28" s="40" t="str">
        <f t="shared" ca="1" si="0"/>
        <v>=relSelect("pid::pname
1::Sony","%1&lt;4")</v>
      </c>
      <c r="B28" t="str">
        <f>relSelect("pid::pname
1::Sony","%1&lt;4")</f>
        <v>pid::pname
1::Sony</v>
      </c>
      <c r="C28" s="40" t="b">
        <f t="shared" si="1"/>
        <v>1</v>
      </c>
      <c r="D28" t="s">
        <v>1084</v>
      </c>
      <c r="E28" s="24"/>
    </row>
    <row r="29" spans="1:5" ht="16">
      <c r="A29" s="40" t="str">
        <f t="shared" ca="1" si="0"/>
        <v>=relSelect("pid::pname","%1&lt;4")</v>
      </c>
      <c r="B29" t="str">
        <f>relSelect("pid::pname","%1&lt;4")</f>
        <v>pid::pname</v>
      </c>
      <c r="C29" s="40" t="b">
        <f t="shared" si="1"/>
        <v>1</v>
      </c>
      <c r="D29" t="s">
        <v>1085</v>
      </c>
      <c r="E29" s="24"/>
    </row>
    <row r="30" spans="1:5">
      <c r="A30" s="40" t="str">
        <f t="shared" ca="1" si="0"/>
        <v>=relSelect("pid::pname 
1::Sony","%pid&lt;4")</v>
      </c>
      <c r="B30" t="str">
        <f>relSelect("pid::pname 
1::Sony","%pid&lt;4")</f>
        <v>pid::pname 
1::Sony</v>
      </c>
      <c r="C30" s="40" t="b">
        <v>1</v>
      </c>
      <c r="D30" t="s">
        <v>1086</v>
      </c>
    </row>
    <row r="31" spans="1:5" ht="75">
      <c r="A31" s="40" t="str">
        <f t="shared" ca="1" si="0"/>
        <v>=relSelect($B$15,"%01&lt;4")</v>
      </c>
      <c r="B31" s="19" t="str">
        <f>relSelect($B$15,"%01&lt;4")</f>
        <v>eid::ename 
_x000D_2::Creative Labs 
_x000D_3::Hewlett Packard 
_x000D_x::Fujitsu 
_x000D_y::Winchester</v>
      </c>
      <c r="C31" s="40" t="b">
        <f t="shared" si="1"/>
        <v>0</v>
      </c>
      <c r="D31" s="19" t="s">
        <v>1175</v>
      </c>
    </row>
    <row r="32" spans="1:5" ht="45">
      <c r="A32" s="40" t="str">
        <f t="shared" ca="1" si="0"/>
        <v>=relSelect($B$15,"%01&gt;2")</v>
      </c>
      <c r="B32" s="19" t="str">
        <f>relSelect($B$15,"%01&gt;2")</f>
        <v>eid::ename 
_x000D_3::Hewlett Packard 
_x000D_4::Iomega</v>
      </c>
      <c r="C32" s="40" t="b">
        <f t="shared" si="1"/>
        <v>0</v>
      </c>
      <c r="D32" s="19" t="s">
        <v>1176</v>
      </c>
    </row>
    <row r="33" spans="1:5">
      <c r="A33" s="40" t="str">
        <f t="shared" ca="1" si="0"/>
        <v>=relSelect($B$15,"VALUE($01)&lt;4")</v>
      </c>
      <c r="B33" t="str">
        <f>relSelect($B$15,"VALUE($01)&lt;4")</f>
        <v>#ERROR CONDITION LINE  5 : =(VALUE("x")&lt;4)</v>
      </c>
      <c r="C33" s="40" t="b">
        <f t="shared" si="1"/>
        <v>1</v>
      </c>
      <c r="D33" t="s">
        <v>1087</v>
      </c>
    </row>
    <row r="34" spans="1:5" ht="30">
      <c r="A34" s="40" t="str">
        <f t="shared" ca="1" si="0"/>
        <v>=relSelect($B$13,"TEXT(%01,""0"")=""5""")</v>
      </c>
      <c r="B34" s="19" t="str">
        <f>relSelect($B$13,"TEXT(%01,""0"")=""5""")</f>
        <v>pid::pname::price 
_x000D_5::Monitor::240</v>
      </c>
      <c r="C34" s="23" t="b">
        <f t="shared" si="1"/>
        <v>0</v>
      </c>
      <c r="D34" s="19" t="s">
        <v>1177</v>
      </c>
    </row>
    <row r="35" spans="1:5">
      <c r="A35" s="40"/>
    </row>
    <row r="36" spans="1:5" ht="165">
      <c r="A36" s="40" t="str">
        <f t="shared" ca="1" si="0"/>
        <v>=relProject($B$13,"1::2")</v>
      </c>
      <c r="B36" s="19" t="str">
        <f>relProject($B$13,"1::2")</f>
        <v>pid::pname 
_x000D_1::Hard drive 
_x000D_2::Memory 
_x000D_3::ZIP drive 
_x000D_4::Floppy disk 
_x000D_5::Monitor 
_x000D_6::DVD drive 
_x000D_7::CD drive 
_x000D_8::Printer 
_x000D_9::Toner cartridge 
_x000D_10::DVD burner</v>
      </c>
      <c r="C36" s="40" t="b">
        <f t="shared" si="1"/>
        <v>0</v>
      </c>
      <c r="D36" s="19" t="s">
        <v>1178</v>
      </c>
    </row>
    <row r="37" spans="1:5" ht="165">
      <c r="A37" s="40" t="str">
        <f t="shared" ca="1" si="0"/>
        <v>=relProject($B$13,"01::02")</v>
      </c>
      <c r="B37" s="19" t="str">
        <f>relProject($B$13,"01::02")</f>
        <v>pid::pname 
_x000D_1::Hard drive 
_x000D_2::Memory 
_x000D_3::ZIP drive 
_x000D_4::Floppy disk 
_x000D_5::Monitor 
_x000D_6::DVD drive 
_x000D_7::CD drive 
_x000D_8::Printer 
_x000D_9::Toner cartridge 
_x000D_10::DVD burner</v>
      </c>
      <c r="C37" s="40" t="b">
        <f t="shared" si="1"/>
        <v>0</v>
      </c>
      <c r="D37" s="19" t="s">
        <v>1178</v>
      </c>
    </row>
    <row r="38" spans="1:5" ht="15">
      <c r="A38" s="40" t="str">
        <f t="shared" ca="1" si="0"/>
        <v>=relProject($B$13,"00::02")</v>
      </c>
      <c r="B38" s="19" t="str">
        <f>relProject($B$13,"00::02")</f>
        <v>#ERROR COLUMN: 00</v>
      </c>
      <c r="C38" s="40" t="b">
        <f t="shared" si="1"/>
        <v>1</v>
      </c>
      <c r="D38" s="19" t="str">
        <f>relProject($B$13,"00::02")</f>
        <v>#ERROR COLUMN: 00</v>
      </c>
    </row>
    <row r="39" spans="1:5" ht="165">
      <c r="A39" s="40" t="str">
        <f t="shared" ca="1" si="0"/>
        <v>=relProject($B$13,"price::pname")</v>
      </c>
      <c r="B39" s="19" t="str">
        <f>relProject($B$13,"price::pname")</f>
        <v>price::pname 
_x000D_240::Hard drive 
_x000D_120::Memory 
_x000D_150::ZIP drive 
_x000D_5::Floppy disk 
_x000D_240::Monitor 
_x000D_180::DVD drive 
_x000D_90::CD drive 
_x000D_270::Printer 
_x000D_66::Toner cartridge 
_x000D_180::DVD burner</v>
      </c>
      <c r="C39" s="40" t="b">
        <f t="shared" si="1"/>
        <v>0</v>
      </c>
      <c r="D39" s="19" t="s">
        <v>1179</v>
      </c>
    </row>
    <row r="40" spans="1:5" ht="30">
      <c r="A40" s="40" t="str">
        <f t="shared" ca="1" si="0"/>
        <v>=relProject($B$13,"price SUM")</v>
      </c>
      <c r="B40" s="19" t="str">
        <f>relProject($B$13,"price SUM")</f>
        <v>price_sum 
_x000D_1541</v>
      </c>
      <c r="C40" s="40" t="b">
        <f t="shared" si="1"/>
        <v>0</v>
      </c>
      <c r="D40" s="19" t="s">
        <v>1180</v>
      </c>
    </row>
    <row r="41" spans="1:5" ht="16">
      <c r="A41" s="40" t="str">
        <f t="shared" ca="1" si="0"/>
        <v>=relProject($B$13,"")</v>
      </c>
      <c r="B41" t="str">
        <f>relProject($B$13,"")</f>
        <v/>
      </c>
      <c r="C41" s="40" t="b">
        <f t="shared" si="1"/>
        <v>1</v>
      </c>
      <c r="D41" s="19" t="s">
        <v>1088</v>
      </c>
      <c r="E41" s="24" t="s">
        <v>1089</v>
      </c>
    </row>
    <row r="42" spans="1:5" ht="16">
      <c r="A42" s="40" t="str">
        <f t="shared" ca="1" si="0"/>
        <v>=relProject($B$13," ")</v>
      </c>
      <c r="B42" t="str">
        <f>relProject($B$13," ")</f>
        <v>#ERROR LIST EMPTY</v>
      </c>
      <c r="C42" s="40" t="b">
        <f t="shared" si="1"/>
        <v>1</v>
      </c>
      <c r="D42" s="19" t="s">
        <v>1090</v>
      </c>
      <c r="E42" s="24" t="s">
        <v>1091</v>
      </c>
    </row>
    <row r="43" spans="1:5" ht="16">
      <c r="A43" s="40" t="str">
        <f t="shared" ca="1" si="0"/>
        <v>=relProject($B$13,"blabla")</v>
      </c>
      <c r="B43" t="str">
        <f>relProject($B$13,"blabla")</f>
        <v>#ERROR COLUMN: blabla</v>
      </c>
      <c r="C43" s="40" t="b">
        <f t="shared" si="1"/>
        <v>1</v>
      </c>
      <c r="D43" s="19" t="s">
        <v>1092</v>
      </c>
      <c r="E43" s="24"/>
    </row>
    <row r="44" spans="1:5" ht="16">
      <c r="A44" s="40" t="str">
        <f t="shared" ca="1" si="0"/>
        <v>=relProject($C$4,"1")</v>
      </c>
      <c r="B44" t="str">
        <f>relProject($C$4,"1")</f>
        <v/>
      </c>
      <c r="C44" s="40" t="b">
        <f t="shared" si="1"/>
        <v>1</v>
      </c>
      <c r="D44" s="19" t="s">
        <v>1088</v>
      </c>
      <c r="E44" s="24" t="s">
        <v>1082</v>
      </c>
    </row>
    <row r="45" spans="1:5" ht="30">
      <c r="A45" s="40" t="str">
        <f t="shared" ca="1" si="0"/>
        <v>=relProject($C$4,"1 COUNT")</v>
      </c>
      <c r="B45" s="19" t="str">
        <f>relProject($C$4,"1 COUNT")</f>
        <v>1_count 
_x000D_0</v>
      </c>
      <c r="C45" s="40" t="b">
        <f t="shared" si="1"/>
        <v>0</v>
      </c>
      <c r="D45" s="19" t="s">
        <v>1181</v>
      </c>
      <c r="E45" s="24" t="s">
        <v>1093</v>
      </c>
    </row>
    <row r="46" spans="1:5" ht="16">
      <c r="A46" s="40" t="str">
        <f t="shared" ca="1" si="0"/>
        <v>=relProject($C$4,"")</v>
      </c>
      <c r="B46" t="str">
        <f>relProject($C$4,"")</f>
        <v/>
      </c>
      <c r="C46" s="40" t="b">
        <f t="shared" si="1"/>
        <v>1</v>
      </c>
      <c r="D46" s="19" t="s">
        <v>1088</v>
      </c>
      <c r="E46" s="24" t="s">
        <v>1082</v>
      </c>
    </row>
    <row r="47" spans="1:5" ht="15">
      <c r="A47" s="40" t="str">
        <f t="shared" ca="1" si="0"/>
        <v>=relProject("1::Sony","2")</v>
      </c>
      <c r="B47" t="str">
        <f>relProject("1::Sony","2")</f>
        <v>#ERROR NUMERIC HEADER</v>
      </c>
      <c r="C47" s="40" t="b">
        <f t="shared" si="1"/>
        <v>1</v>
      </c>
      <c r="D47" s="19" t="s">
        <v>1094</v>
      </c>
    </row>
    <row r="48" spans="1:5" ht="15">
      <c r="A48" s="40" t="str">
        <f t="shared" ca="1" si="0"/>
        <v>=relProject("pid::pname","2")</v>
      </c>
      <c r="B48" t="str">
        <f>relProject("pid::pname","2")</f>
        <v>pname</v>
      </c>
      <c r="C48" s="40" t="b">
        <f t="shared" si="1"/>
        <v>1</v>
      </c>
      <c r="D48" s="19" t="s">
        <v>970</v>
      </c>
    </row>
    <row r="49" spans="1:4">
      <c r="A49" s="40"/>
    </row>
    <row r="50" spans="1:4" ht="165">
      <c r="A50" s="40" t="str">
        <f t="shared" ca="1" si="0"/>
        <v>=relExtend($B$13,"%pid*2","pid2")</v>
      </c>
      <c r="B50" s="19" t="str">
        <f>relExtend($B$13,"%pid*2","pid2")</f>
        <v>pid::pname::price::pid2 
_x000D_1::Hard drive::240::2 
_x000D_2::Memory::120::4 
_x000D_3::ZIP drive::150::6 
_x000D_4::Floppy disk::5::8 
_x000D_5::Monitor::240::10 
_x000D_6::DVD drive::180::12 
_x000D_7::CD drive::90::14 
_x000D_8::Printer::270::16 
_x000D_9::Toner cartridge::66::18 
_x000D_10::DVD burner::180::20</v>
      </c>
      <c r="C50" s="40" t="b">
        <f t="shared" ref="C50:C102" si="2">(B50=D50)</f>
        <v>0</v>
      </c>
      <c r="D50" s="19" t="s">
        <v>1182</v>
      </c>
    </row>
    <row r="51" spans="1:4" ht="165">
      <c r="A51" s="40" t="str">
        <f t="shared" ca="1" si="0"/>
        <v>=relExtend($B$13,"$pid*2","pid2")</v>
      </c>
      <c r="B51" s="19" t="str">
        <f>relExtend($B$13,"$pid*2","pid2")</f>
        <v>pid::pname::price::pid2 
_x000D_1::Hard drive::240::2 
_x000D_2::Memory::120::4 
_x000D_3::ZIP drive::150::6 
_x000D_4::Floppy disk::5::8 
_x000D_5::Monitor::240::10 
_x000D_6::DVD drive::180::12 
_x000D_7::CD drive::90::14 
_x000D_8::Printer::270::16 
_x000D_9::Toner cartridge::66::18 
_x000D_10::DVD burner::180::20</v>
      </c>
      <c r="C51" s="40" t="b">
        <f t="shared" si="2"/>
        <v>0</v>
      </c>
      <c r="D51" s="19" t="s">
        <v>1182</v>
      </c>
    </row>
    <row r="52" spans="1:4" ht="15">
      <c r="A52" s="40" t="str">
        <f t="shared" ca="1" si="0"/>
        <v>=relExtend($B$13,"$02blabla""")</v>
      </c>
      <c r="B52" s="19" t="str">
        <f>relExtend($B$13,"$02blabla""")</f>
        <v>#ERROR CALCULATION LINE  2 : =("Hard drive"blabla")</v>
      </c>
      <c r="C52" s="40" t="b">
        <f t="shared" si="2"/>
        <v>1</v>
      </c>
      <c r="D52" s="19" t="s">
        <v>1095</v>
      </c>
    </row>
    <row r="53" spans="1:4" ht="15">
      <c r="A53" s="40" t="str">
        <f t="shared" ca="1" si="0"/>
        <v>=relExtend($B$13,"%01/0")</v>
      </c>
      <c r="B53" s="19" t="str">
        <f>relExtend($B$13,"%01/0")</f>
        <v>#ERROR CALCULATION LINE  2 : =(1/0)</v>
      </c>
      <c r="C53" s="40" t="b">
        <f t="shared" si="2"/>
        <v>1</v>
      </c>
      <c r="D53" s="19" t="s">
        <v>1096</v>
      </c>
    </row>
    <row r="54" spans="1:4" ht="15">
      <c r="A54" s="40" t="str">
        <f t="shared" ca="1" si="0"/>
        <v>=relExtend("1::Sony","%1*5")</v>
      </c>
      <c r="B54" s="19" t="str">
        <f>relExtend("1::Sony","%1*5")</f>
        <v>#ERROR NUMERIC HEADER</v>
      </c>
      <c r="C54" s="40" t="b">
        <f t="shared" si="2"/>
        <v>1</v>
      </c>
      <c r="D54" s="19" t="s">
        <v>1094</v>
      </c>
    </row>
    <row r="55" spans="1:4" ht="15">
      <c r="A55" s="40" t="str">
        <f t="shared" ca="1" si="0"/>
        <v>=relExtend("id::blabla","%1*5")</v>
      </c>
      <c r="B55" s="19" t="str">
        <f>relExtend("id::blabla","%1*5")</f>
        <v>id::blabla::c2</v>
      </c>
      <c r="C55" s="40" t="b">
        <f t="shared" si="2"/>
        <v>1</v>
      </c>
      <c r="D55" s="19" t="s">
        <v>1097</v>
      </c>
    </row>
    <row r="56" spans="1:4" ht="165">
      <c r="A56" s="40" t="str">
        <f t="shared" ca="1" si="0"/>
        <v>=relExtend($B$13,"%01*0.22")</v>
      </c>
      <c r="B56" s="19" t="str">
        <f>relExtend($B$13,"%01*0.22")</f>
        <v>pid::pname::price::c3 
_x000D_1::Hard drive::240::.22 
_x000D_2::Memory::120::.44 
_x000D_3::ZIP drive::150::.66 
_x000D_4::Floppy disk::5::.88 
_x000D_5::Monitor::240::1.1 
_x000D_6::DVD drive::180::1.32 
_x000D_7::CD drive::90::1.54 
_x000D_8::Printer::270::1.76 
_x000D_9::Toner cartridge::66::1.98 
_x000D_10::DVD burner::180::2.2</v>
      </c>
      <c r="C56" s="40" t="b">
        <f>(B56=D56)</f>
        <v>0</v>
      </c>
      <c r="D56" s="19" t="s">
        <v>1183</v>
      </c>
    </row>
    <row r="57" spans="1:4" ht="15">
      <c r="A57" s="40" t="str">
        <f t="shared" ca="1" si="0"/>
        <v>=relExtend("","%1*5")</v>
      </c>
      <c r="B57" t="str">
        <f>relExtend("","%1*5")</f>
        <v/>
      </c>
      <c r="C57" s="40" t="b">
        <f t="shared" si="2"/>
        <v>1</v>
      </c>
      <c r="D57" s="19" t="s">
        <v>1088</v>
      </c>
    </row>
    <row r="58" spans="1:4">
      <c r="A58" s="40"/>
    </row>
    <row r="59" spans="1:4" ht="135">
      <c r="A59" s="40" t="str">
        <f t="shared" ca="1" si="0"/>
        <v>=relUnion($B$14,$B$15)</v>
      </c>
      <c r="B59" s="19" t="str">
        <f>relUnion($B$14,$B$15)</f>
        <v>eid::ename 
_x000D_1::Sony 
_x000D_2::Creative Labs 
_x000D_3::Hewlett Packard 
_x000D_4::Iomega 
_x000D_5::Fujitsu 
_x000D_6::Winchester 
_x000D_x::Fujitsu 
_x000D_y::Winchester</v>
      </c>
      <c r="C59" s="23" t="b">
        <f t="shared" si="2"/>
        <v>0</v>
      </c>
      <c r="D59" s="19" t="s">
        <v>1184</v>
      </c>
    </row>
    <row r="60" spans="1:4">
      <c r="A60" s="40" t="str">
        <f t="shared" ca="1" si="0"/>
        <v>=relUnion($B$13,$B$14)</v>
      </c>
      <c r="B60" t="str">
        <f>relUnion($B$13,$B$14)</f>
        <v>#ERROR ARITY :  3 &lt;&gt; 2</v>
      </c>
      <c r="C60" s="40" t="b">
        <f t="shared" si="2"/>
        <v>1</v>
      </c>
      <c r="D60" t="s">
        <v>1098</v>
      </c>
    </row>
    <row r="61" spans="1:4" ht="165">
      <c r="A61" s="40" t="str">
        <f t="shared" ca="1" si="0"/>
        <v>=relUnion($B$13,"")</v>
      </c>
      <c r="B61" s="19" t="str">
        <f>relUnion($B$13,"")</f>
        <v>pid::pname::price 
_x000D_1::Hard drive::240 
_x000D_2::Memory::120 
_x000D_3::ZIP drive::150 
_x000D_4::Floppy disk::5 
_x000D_5::Monitor::240 
_x000D_6::DVD drive::180 
_x000D_7::CD drive::90 
_x000D_8::Printer::270 
_x000D_9::Toner cartridge::66 
_x000D_10::DVD burner::180</v>
      </c>
      <c r="C61" s="23" t="b">
        <f t="shared" si="2"/>
        <v>0</v>
      </c>
      <c r="D61" s="19" t="s">
        <v>1171</v>
      </c>
    </row>
    <row r="62" spans="1:4" ht="105">
      <c r="A62" s="40" t="str">
        <f t="shared" ca="1" si="0"/>
        <v>=relUnion($B$14,$C$2)</v>
      </c>
      <c r="B62" s="19" t="str">
        <f>relUnion($B$14,$C$2)</f>
        <v>eid::ename 
_x000D_1::Sony 
_x000D_2::Creative Labs 
_x000D_3::Hewlett Packard 
_x000D_4::Iomega 
_x000D_5::Fujitsu 
_x000D_6::Winchester</v>
      </c>
      <c r="C62" s="23" t="b">
        <f t="shared" si="2"/>
        <v>0</v>
      </c>
      <c r="D62" s="19" t="s">
        <v>1172</v>
      </c>
    </row>
    <row r="63" spans="1:4" ht="165">
      <c r="A63" s="40" t="str">
        <f t="shared" ca="1" si="0"/>
        <v>=relUnion("",$B$13)</v>
      </c>
      <c r="B63" s="19" t="str">
        <f>relUnion("",$B$13)</f>
        <v>pid::pname::price 
_x000D_1::Hard drive::240 
_x000D_2::Memory::120 
_x000D_3::ZIP drive::150 
_x000D_4::Floppy disk::5 
_x000D_5::Monitor::240 
_x000D_6::DVD drive::180 
_x000D_7::CD drive::90 
_x000D_8::Printer::270 
_x000D_9::Toner cartridge::66 
_x000D_10::DVD burner::180</v>
      </c>
      <c r="C63" s="23" t="b">
        <f t="shared" si="2"/>
        <v>0</v>
      </c>
      <c r="D63" s="19" t="s">
        <v>1171</v>
      </c>
    </row>
    <row r="64" spans="1:4">
      <c r="A64" s="40" t="str">
        <f t="shared" ca="1" si="0"/>
        <v>=relUnion("blabla","foo")</v>
      </c>
      <c r="B64" t="str">
        <f>relUnion("blabla","foo")</f>
        <v>#ERROR FIELD NOT MATCH foo</v>
      </c>
      <c r="C64" s="40" t="b">
        <f t="shared" si="2"/>
        <v>1</v>
      </c>
      <c r="D64" t="s">
        <v>1099</v>
      </c>
    </row>
    <row r="65" spans="1:9">
      <c r="A65" s="40" t="str">
        <f t="shared" ca="1" si="0"/>
        <v>=relUnion("foo","foo")</v>
      </c>
      <c r="B65" t="str">
        <f>relUnion("foo","foo")</f>
        <v>foo</v>
      </c>
      <c r="C65" s="40" t="b">
        <f t="shared" si="2"/>
        <v>1</v>
      </c>
      <c r="D65" t="s">
        <v>1100</v>
      </c>
    </row>
    <row r="66" spans="1:9">
      <c r="A66" s="40"/>
    </row>
    <row r="67" spans="1:9" ht="60">
      <c r="A67" s="40" t="str">
        <f t="shared" ca="1" si="0"/>
        <v>=reldifference($B$14,$B$15)</v>
      </c>
      <c r="B67" s="19" t="str">
        <f>reldifference($B$14,$B$15)</f>
        <v>eid::ename 
_x000D_1::Sony 
_x000D_5::Fujitsu 
_x000D_6::Winchester</v>
      </c>
      <c r="C67" s="23" t="b">
        <f t="shared" si="2"/>
        <v>0</v>
      </c>
      <c r="D67" s="19" t="s">
        <v>1185</v>
      </c>
    </row>
    <row r="68" spans="1:9">
      <c r="A68" s="40" t="str">
        <f t="shared" ca="1" si="0"/>
        <v>=reldifference($B$14,"10::Panasonic")</v>
      </c>
      <c r="B68" t="str">
        <f>reldifference($B$14,"10::Panasonic")</f>
        <v>#ERROR FIELD NOT MATCH Panasonic</v>
      </c>
      <c r="C68" s="40" t="b">
        <f t="shared" si="2"/>
        <v>1</v>
      </c>
      <c r="D68" t="s">
        <v>1101</v>
      </c>
    </row>
    <row r="69" spans="1:9">
      <c r="A69" s="40" t="str">
        <f t="shared" ca="1" si="0"/>
        <v>=reldifference($B$13,$B$14)</v>
      </c>
      <c r="B69" t="str">
        <f>reldifference($B$13,$B$14)</f>
        <v>#ERROR ARITY :  3 &lt;&gt; 2</v>
      </c>
      <c r="C69" s="40" t="b">
        <f t="shared" si="2"/>
        <v>1</v>
      </c>
      <c r="D69" t="s">
        <v>1098</v>
      </c>
    </row>
    <row r="70" spans="1:9" ht="165">
      <c r="A70" s="40" t="str">
        <f t="shared" ca="1" si="0"/>
        <v>=reldifference($B$13,"")</v>
      </c>
      <c r="B70" s="19" t="str">
        <f>reldifference($B$13,"")</f>
        <v>pid::pname::price 
_x000D_1::Hard drive::240 
_x000D_2::Memory::120 
_x000D_3::ZIP drive::150 
_x000D_4::Floppy disk::5 
_x000D_5::Monitor::240 
_x000D_6::DVD drive::180 
_x000D_7::CD drive::90 
_x000D_8::Printer::270 
_x000D_9::Toner cartridge::66 
_x000D_10::DVD burner::180</v>
      </c>
      <c r="C70" s="23" t="b">
        <f t="shared" si="2"/>
        <v>0</v>
      </c>
      <c r="D70" s="19" t="s">
        <v>1171</v>
      </c>
    </row>
    <row r="71" spans="1:9" ht="165">
      <c r="A71" s="40" t="str">
        <f t="shared" ca="1" si="0"/>
        <v>=reldifference($B$13,$C$2)</v>
      </c>
      <c r="B71" s="19" t="str">
        <f>reldifference($B$13,$C$2)</f>
        <v>pid::pname::price 
_x000D_1::Hard drive::240 
_x000D_2::Memory::120 
_x000D_3::ZIP drive::150 
_x000D_4::Floppy disk::5 
_x000D_5::Monitor::240 
_x000D_6::DVD drive::180 
_x000D_7::CD drive::90 
_x000D_8::Printer::270 
_x000D_9::Toner cartridge::66 
_x000D_10::DVD burner::180</v>
      </c>
      <c r="C71" s="23" t="b">
        <f t="shared" si="2"/>
        <v>0</v>
      </c>
      <c r="D71" s="19" t="s">
        <v>1171</v>
      </c>
    </row>
    <row r="72" spans="1:9" ht="16">
      <c r="A72" s="40" t="str">
        <f t="shared" ca="1" si="0"/>
        <v>=reldifference("",$B$13)</v>
      </c>
      <c r="B72" t="str">
        <f>reldifference("",$B$13)</f>
        <v/>
      </c>
      <c r="C72" s="40" t="b">
        <f t="shared" si="2"/>
        <v>1</v>
      </c>
      <c r="D72" t="s">
        <v>1088</v>
      </c>
      <c r="E72" s="24" t="s">
        <v>1082</v>
      </c>
    </row>
    <row r="73" spans="1:9">
      <c r="A73" s="40" t="str">
        <f t="shared" ca="1" si="0"/>
        <v>=reldifference("blabla","foo")</v>
      </c>
      <c r="B73" t="str">
        <f>reldifference("blabla","foo")</f>
        <v>#ERROR FIELD NOT MATCH foo</v>
      </c>
      <c r="C73" s="40" t="b">
        <f t="shared" si="2"/>
        <v>1</v>
      </c>
      <c r="D73" t="s">
        <v>1099</v>
      </c>
    </row>
    <row r="74" spans="1:9">
      <c r="A74" s="40" t="str">
        <f t="shared" ca="1" si="0"/>
        <v>=reldifference("foo","foo")</v>
      </c>
      <c r="B74" t="str">
        <f>reldifference("foo","foo")</f>
        <v>foo</v>
      </c>
      <c r="C74" s="40" t="b">
        <f t="shared" si="2"/>
        <v>1</v>
      </c>
      <c r="D74" t="s">
        <v>1100</v>
      </c>
    </row>
    <row r="75" spans="1:9">
      <c r="A75" s="40"/>
    </row>
    <row r="76" spans="1:9" ht="409.6">
      <c r="A76" s="40" t="str">
        <f t="shared" ca="1" si="0"/>
        <v>=relJoin($B$13,$B$14,"true")</v>
      </c>
      <c r="B76" s="35" t="str">
        <f>relJoin($B$13,$B$14,"true")</f>
        <v>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v>
      </c>
      <c r="C76" s="40" t="b">
        <f t="shared" si="2"/>
        <v>0</v>
      </c>
      <c r="D76" s="19" t="s">
        <v>1186</v>
      </c>
    </row>
    <row r="77" spans="1:9" ht="409.6">
      <c r="A77" s="40" t="str">
        <f t="shared" ca="1" si="0"/>
        <v>=relJoin($B$13,$B$13,"true")</v>
      </c>
      <c r="B77" s="35" t="str">
        <f>relJoin($B$13,$B$13,"true")</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77" s="40" t="b">
        <f t="shared" si="2"/>
        <v>0</v>
      </c>
      <c r="D77" s="19" t="s">
        <v>1102</v>
      </c>
    </row>
    <row r="78" spans="1:9" ht="105">
      <c r="A78" s="40" t="str">
        <f t="shared" ref="A78:A102" ca="1" si="3">_xlfn.FORMULATEXT(B78)</f>
        <v>=relJoin($B$13,$B$14,"$01=$04")</v>
      </c>
      <c r="B78" s="35" t="str">
        <f>relJoin($B$13,$B$14,"$01=$04")</f>
        <v>pid::pname::price::eid::ename 
_x000D_1::Hard drive::240::1::Sony 
_x000D_2::Memory::120::2::Creative Labs 
_x000D_3::ZIP drive::150::3::Hewlett Packard 
_x000D_4::Floppy disk::5::4::Iomega 
_x000D_5::Monitor::240::5::Fujitsu 
_x000D_6::DVD drive::180::6::Winchester</v>
      </c>
      <c r="C78" s="40" t="b">
        <f t="shared" si="2"/>
        <v>1</v>
      </c>
      <c r="D78" s="19" t="s">
        <v>1103</v>
      </c>
    </row>
    <row r="79" spans="1:9" ht="60">
      <c r="A79" s="40" t="str">
        <f t="shared" ca="1" si="3"/>
        <v>=relJoin($B$14,$B$15,"NATURAL")</v>
      </c>
      <c r="B79" s="35" t="str">
        <f>relJoin($B$14,$B$15,"NATURAL")</f>
        <v>eid::ename 
_x000D_2::Creative Labs 
_x000D_3::Hewlett Packard 
_x000D_4::Iomega</v>
      </c>
      <c r="C79" s="40" t="b">
        <f t="shared" si="2"/>
        <v>1</v>
      </c>
      <c r="D79" s="19" t="s">
        <v>1104</v>
      </c>
      <c r="E79" s="19"/>
      <c r="F79" s="19"/>
      <c r="G79" s="19"/>
      <c r="I79" t="str">
        <f>relFilter(E79,G79,"J NATURAL")</f>
        <v/>
      </c>
    </row>
    <row r="80" spans="1:9" ht="409.6">
      <c r="A80" s="40" t="str">
        <f t="shared" ca="1" si="3"/>
        <v>=relJoin($B$13,$B$13,"$01=$01")</v>
      </c>
      <c r="B80" s="35" t="str">
        <f>relJoin($B$13,$B$13,"$01=$01")</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80" s="40" t="b">
        <f t="shared" si="2"/>
        <v>0</v>
      </c>
      <c r="D80" s="19" t="s">
        <v>1187</v>
      </c>
    </row>
    <row r="81" spans="1:5" ht="16">
      <c r="A81" s="40" t="str">
        <f t="shared" ca="1" si="3"/>
        <v>=relJoin("",$B$12,"true")</v>
      </c>
      <c r="B81" t="str">
        <f>relJoin("",$B$12,"true")</f>
        <v/>
      </c>
      <c r="C81" s="40" t="b">
        <f t="shared" si="2"/>
        <v>1</v>
      </c>
      <c r="D81" t="s">
        <v>1088</v>
      </c>
      <c r="E81" s="24" t="s">
        <v>1082</v>
      </c>
    </row>
    <row r="82" spans="1:5" ht="16">
      <c r="A82" s="40" t="str">
        <f t="shared" ca="1" si="3"/>
        <v>=relJoin($B$12,"","true")</v>
      </c>
      <c r="B82" t="str">
        <f>relJoin($B$12,"","true")</f>
        <v/>
      </c>
      <c r="C82" s="40" t="b">
        <f t="shared" si="2"/>
        <v>1</v>
      </c>
      <c r="D82" t="s">
        <v>1088</v>
      </c>
      <c r="E82" s="24" t="s">
        <v>1082</v>
      </c>
    </row>
    <row r="83" spans="1:5" ht="16">
      <c r="A83" s="40" t="str">
        <f t="shared" ca="1" si="3"/>
        <v>=relJoin("","","true")</v>
      </c>
      <c r="B83" t="str">
        <f>relJoin("","","true")</f>
        <v/>
      </c>
      <c r="C83" s="40" t="b">
        <f t="shared" si="2"/>
        <v>1</v>
      </c>
      <c r="D83" t="s">
        <v>1088</v>
      </c>
      <c r="E83" s="24" t="s">
        <v>1082</v>
      </c>
    </row>
    <row r="84" spans="1:5">
      <c r="A84" s="40" t="str">
        <f t="shared" ca="1" si="3"/>
        <v>=relJoin($B$13,$B$14,"blabla")</v>
      </c>
      <c r="B84" t="str">
        <f>relJoin($B$13,$B$14,"blabla")</f>
        <v>#ERROR CONDITION LINE  2/ 2 : =(blabla)</v>
      </c>
      <c r="C84" s="40" t="b">
        <f t="shared" si="2"/>
        <v>1</v>
      </c>
      <c r="D84" t="s">
        <v>1105</v>
      </c>
    </row>
    <row r="85" spans="1:5">
      <c r="A85" s="40" t="str">
        <f t="shared" ca="1" si="3"/>
        <v>=relJoin($B$13,$B$14,"$01=$03",)</v>
      </c>
      <c r="B85" s="40" t="str">
        <f>relJoin($B$13,$B$14,"$01=$03",)</f>
        <v>pid::pname::price::eid::ename</v>
      </c>
      <c r="C85" s="40" t="b">
        <f t="shared" si="2"/>
        <v>1</v>
      </c>
      <c r="D85" t="s">
        <v>1106</v>
      </c>
    </row>
    <row r="86" spans="1:5">
      <c r="A86" s="40"/>
    </row>
    <row r="87" spans="1:5" ht="165">
      <c r="A87" s="40" t="str">
        <f t="shared" ca="1" si="3"/>
        <v>=relOrder($B$13,"3 9::2 A")</v>
      </c>
      <c r="B87" s="19" t="str">
        <f>relOrder($B$13,"3 9::2 A")</f>
        <v>pid::pname::price 
_x000D_8::Printer::270 
_x000D_1::Hard drive::240 
_x000D_5::Monitor::240 
_x000D_10::DVD burner::180 
_x000D_6::DVD drive::180 
_x000D_3::ZIP drive::150 
_x000D_2::Memory::120 
_x000D_7::CD drive::90 
_x000D_9::Toner cartridge::66 
_x000D_4::Floppy disk::5</v>
      </c>
      <c r="C87" s="40" t="b">
        <f t="shared" si="2"/>
        <v>0</v>
      </c>
      <c r="D87" s="19" t="s">
        <v>1188</v>
      </c>
    </row>
    <row r="88" spans="1:5">
      <c r="A88" s="40" t="str">
        <f t="shared" ca="1" si="3"/>
        <v>=relOrder($B$13,"3 9::blabla::2 A")</v>
      </c>
      <c r="B88" t="str">
        <f>relOrder($B$13,"3 9::blabla::2 A")</f>
        <v>ERROR COLUMN blabla</v>
      </c>
      <c r="C88" s="40" t="b">
        <f t="shared" si="2"/>
        <v>1</v>
      </c>
      <c r="D88" t="s">
        <v>1107</v>
      </c>
    </row>
    <row r="89" spans="1:5">
      <c r="A89" s="40" t="str">
        <f t="shared" ca="1" si="3"/>
        <v>=relCell($B$13,1,2)</v>
      </c>
      <c r="B89" t="str">
        <f>relCell($B$13,1,2)</f>
        <v>Hard drive</v>
      </c>
      <c r="C89" s="40" t="b">
        <f t="shared" si="2"/>
        <v>1</v>
      </c>
      <c r="D89" t="s">
        <v>790</v>
      </c>
    </row>
    <row r="90" spans="1:5">
      <c r="A90" s="40" t="str">
        <f t="shared" ca="1" si="3"/>
        <v>=relCell($B$13,2,99)</v>
      </c>
      <c r="B90" t="str">
        <f>relCell($B$13,2,99)</f>
        <v>#ERROR BOUNDS COLUMN:  99</v>
      </c>
      <c r="C90" s="40" t="b">
        <f t="shared" si="2"/>
        <v>1</v>
      </c>
      <c r="D90" t="str">
        <f>relCell($B$13,2,99)</f>
        <v>#ERROR BOUNDS COLUMN:  99</v>
      </c>
    </row>
    <row r="91" spans="1:5" ht="16">
      <c r="A91" s="40" t="str">
        <f t="shared" ca="1" si="3"/>
        <v>=relCell($B$13,99,2)</v>
      </c>
      <c r="B91" t="str">
        <f>relCell($B$13,99,2)</f>
        <v>#ERROR BOUNDS ROW:  99</v>
      </c>
      <c r="C91" s="40" t="b">
        <f t="shared" si="2"/>
        <v>1</v>
      </c>
      <c r="D91" t="str">
        <f>relCell($B$13,99,2)</f>
        <v>#ERROR BOUNDS ROW:  99</v>
      </c>
      <c r="E91" s="24"/>
    </row>
    <row r="92" spans="1:5" ht="16">
      <c r="A92" s="40" t="str">
        <f t="shared" ca="1" si="3"/>
        <v>=relCell($B$13,2,99,0,1)</v>
      </c>
      <c r="B92" t="str">
        <f>relCell($B$13,2,99,0,1)</f>
        <v/>
      </c>
      <c r="C92" s="40" t="b">
        <f t="shared" si="2"/>
        <v>1</v>
      </c>
      <c r="E92" s="24"/>
    </row>
    <row r="93" spans="1:5" ht="16">
      <c r="A93" s="40" t="str">
        <f t="shared" ca="1" si="3"/>
        <v>=relCell($B$13,99,2,0,1)</v>
      </c>
      <c r="B93" t="str">
        <f>relCell($B$13,99,2,0,1)</f>
        <v/>
      </c>
      <c r="C93" s="40" t="b">
        <f t="shared" si="2"/>
        <v>1</v>
      </c>
      <c r="E93" s="24"/>
    </row>
    <row r="94" spans="1:5">
      <c r="A94" s="40" t="str">
        <f t="shared" ca="1" si="3"/>
        <v>=relCell($B$13,0,2)</v>
      </c>
      <c r="B94" t="str">
        <f>relCell($B$13,0,2)</f>
        <v>pname</v>
      </c>
      <c r="C94" s="40" t="b">
        <f t="shared" si="2"/>
        <v>1</v>
      </c>
      <c r="D94" t="s">
        <v>970</v>
      </c>
    </row>
    <row r="95" spans="1:5">
      <c r="A95" s="40" t="str">
        <f t="shared" ca="1" si="3"/>
        <v>=relCell("",1,1)</v>
      </c>
      <c r="B95" t="str">
        <f>relCell("",1,1)</f>
        <v/>
      </c>
      <c r="C95" s="40" t="b">
        <f t="shared" si="2"/>
        <v>1</v>
      </c>
    </row>
    <row r="96" spans="1:5">
      <c r="A96" s="40" t="str">
        <f t="shared" ca="1" si="3"/>
        <v>=relCell("1::Sony",1,2)</v>
      </c>
      <c r="B96" t="str">
        <f>relCell("1::Sony",1,2)</f>
        <v>#ERROR BOUNDS ROW:  1</v>
      </c>
      <c r="C96" s="40" t="b">
        <f t="shared" si="2"/>
        <v>1</v>
      </c>
      <c r="D96" t="str">
        <f>relCell("1::Sony",1,2)</f>
        <v>#ERROR BOUNDS ROW:  1</v>
      </c>
    </row>
    <row r="97" spans="1:4" ht="165">
      <c r="A97" s="40" t="str">
        <f t="shared" ca="1" si="3"/>
        <v>=relSql("SELECT * FROM t1",unit1)</v>
      </c>
      <c r="B97" s="23" t="str">
        <f>relSql("SELECT * FROM t1",unit1)</f>
        <v>pid::pname::price 
_x000D_1::Hard drive::240 
_x000D_2::Memory::120 
_x000D_3::ZIP drive::150 
_x000D_4::Floppy disk::5 
_x000D_5::Monitor::240 
_x000D_6::DVD drive::180 
_x000D_7::CD drive::90 
_x000D_8::Printer::270 
_x000D_9::Toner cartridge::66 
_x000D_10::DVD burner::180</v>
      </c>
      <c r="C97" s="40" t="b">
        <f t="shared" si="2"/>
        <v>0</v>
      </c>
      <c r="D97" s="23" t="s">
        <v>1171</v>
      </c>
    </row>
    <row r="98" spans="1:4" ht="165">
      <c r="A98" s="23" t="str">
        <f t="shared" ca="1" si="3"/>
        <v>=relSql("SELECT pname FROM t1",unit1)</v>
      </c>
      <c r="B98" s="23" t="str">
        <f>relSql("SELECT pname FROM t1",unit1)</f>
        <v>pname 
_x000D_Hard drive 
_x000D_Memory 
_x000D_ZIP drive 
_x000D_Floppy disk 
_x000D_Monitor 
_x000D_DVD drive 
_x000D_CD drive 
_x000D_Printer 
_x000D_Toner cartridge 
_x000D_DVD burner</v>
      </c>
      <c r="C98" s="40" t="b">
        <f t="shared" si="2"/>
        <v>0</v>
      </c>
      <c r="D98" s="23" t="s">
        <v>1189</v>
      </c>
    </row>
    <row r="99" spans="1:4" ht="75">
      <c r="A99" s="23" t="str">
        <f t="shared" ca="1" si="3"/>
        <v>=relSql("SELECT AVG(pid) AS aid, COUNT(pid) AS cid, MAX(pid) AS maxid, MEDIAN(pid) AS med, MIN(pid) AS minid, SUM(pid) AS sumid, STDEV(pid) AS st FROM t1",unit1)</v>
      </c>
      <c r="B99" s="23" t="str">
        <f>relSql("SELECT AVG(pid) AS aid, COUNT(pid) AS cid, MAX(pid) AS maxid, MEDIAN(pid) AS med, MIN(pid) AS minid, SUM(pid) AS sumid, STDEV(pid) AS st FROM t1",unit1)</f>
        <v>aid::cid::maxid::med::minid::sumid::st 
_x000D_5.5::10::10:: 5.5::1::55::2.87228132326901</v>
      </c>
      <c r="C99" s="40" t="b">
        <f t="shared" si="2"/>
        <v>0</v>
      </c>
      <c r="D99" t="s">
        <v>1190</v>
      </c>
    </row>
    <row r="100" spans="1:4" ht="105">
      <c r="A100" s="23" t="str">
        <f t="shared" ca="1" si="3"/>
        <v>=relFilter("SELECT * FROM t1 NATURAL JOIN t2",unit1,unit2)</v>
      </c>
      <c r="B100" s="23" t="str">
        <f>relFilter("SELECT * FROM t1 NATURAL JOIN t2",unit1,unit2)</f>
        <v>eid::ename 
_x000D_1::Sony 
_x000D_2::Creative Labs 
_x000D_3::Hewlett Packard 
_x000D_4::Iomega 
_x000D_5::Fujitsu 
_x000D_6::Winchester</v>
      </c>
      <c r="C100" s="40" t="b">
        <f t="shared" si="2"/>
        <v>0</v>
      </c>
      <c r="D100" s="23" t="s">
        <v>1172</v>
      </c>
    </row>
    <row r="101" spans="1:4" ht="100" customHeight="1">
      <c r="A101" s="23" t="str">
        <f t="shared" ca="1" si="3"/>
        <v>=relSql("SELECT ABS(pid) AS a, COS(pid) AS c, EXP(pid) AS e, LOG(pid) AS l, SIN(pid) AS s, TAN(pid) AS t FROM t1",unit1)</v>
      </c>
      <c r="B101" s="23" t="str">
        <f>relSql("SELECT ABS(pid) AS a, COS(pid) AS c, EXP(pid) AS e, LOG(pid) AS l, SIN(pid) AS s, TAN(pid) AS t FROM t1",unit1)</f>
        <v>a::c::e::l::s::t 
_x000D_1::.54030230586814::2.71828182845905::0::.841470984807897::1.5574077246549 
_x000D_2::-.416146836547142::7.38905609893065::.301029995663981::.909297426825682::-2.18503986326152 
_x000D_3::-.989992496600445::20.0855369231877::.477121254719662::.141120008059867::-.142546543074278 
_x000D_4::-.653643620863612::54.5981500331442::.602059991327962::-.756802495307928::1.15782128234958 
_x000D_5::.283662185463226::148.413159102577::.698970004336019::-.958924274663138::-3.38051500624658 
_x000D_6::.960170286650366::403.428793492735::.778151250383644::-.279415498198926::-.291006191384749 
_x000D_7::.753902254343305::1096.63315842846::.845098040014257::.656986598718789::.871447982724319 
_x000D_8::-.145500033808614::2980.95798704173::.903089986991943::.989358246623382::-6.79971145522038 
_x000D_9::-.911130261884677::8103.08392757538::.954242509439325::.412118485241757::-.45231565944181 
_x000D_10::-.839071529076452::22026.4657948067::1::-.54402111088937::.648360827459087</v>
      </c>
      <c r="C101" s="40" t="b">
        <f t="shared" si="2"/>
        <v>0</v>
      </c>
      <c r="D101" s="23" t="s">
        <v>1191</v>
      </c>
    </row>
    <row r="102" spans="1:4" ht="165">
      <c r="A102" s="23" t="str">
        <f t="shared" ca="1" si="3"/>
        <v>=relSql("SELECT POW(price,pid) AS p, SQRT(price) AS pr FROM t1", unit1)</v>
      </c>
      <c r="B102" s="23" t="str">
        <f>relSql("SELECT POW(price,pid) AS p, SQRT(price) AS pr FROM t1", unit1)</f>
        <v>p::pr 
_x000D_240::15.4919333848297 
_x000D_14400::10.9544511501033 
_x000D_3375000::12.2474487139159 
_x000D_625::2.23606797749979 
_x000D_796262400000::15.4919333848297 
_x000D_34012224000000::13.4164078649987 
_x000D_47829690000000::9.48683298050514 
_x000D_2.82429536481E+19::16.431676725155 
_x000D_2.37626800137999E+16::8.12403840463596 
_x000D_3.570467226624E+22::13.4164078649987</v>
      </c>
      <c r="C102" s="40" t="b">
        <f t="shared" si="2"/>
        <v>0</v>
      </c>
      <c r="D102" s="23" t="s">
        <v>1192</v>
      </c>
    </row>
    <row r="103" spans="1:4">
      <c r="A103" s="40"/>
    </row>
    <row r="104" spans="1:4">
      <c r="A104" s="40"/>
    </row>
    <row r="105" spans="1:4">
      <c r="A105" s="40"/>
    </row>
    <row r="106" spans="1:4">
      <c r="A106" s="40"/>
    </row>
    <row r="107" spans="1:4">
      <c r="A107" s="40"/>
    </row>
    <row r="108" spans="1:4">
      <c r="A108" s="40"/>
    </row>
    <row r="109" spans="1:4">
      <c r="A109" s="40"/>
    </row>
    <row r="110" spans="1:4">
      <c r="A110" s="40"/>
    </row>
    <row r="111" spans="1:4">
      <c r="A111" s="40"/>
    </row>
    <row r="112" spans="1:4">
      <c r="A112" s="40"/>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
  <dimension ref="A1:F11"/>
  <sheetViews>
    <sheetView zoomScaleNormal="100" workbookViewId="0">
      <selection activeCell="D2" sqref="D2"/>
    </sheetView>
  </sheetViews>
  <sheetFormatPr baseColWidth="10" defaultRowHeight="14"/>
  <sheetData>
    <row r="1" spans="1:6" ht="15" thickBot="1">
      <c r="A1" s="3" t="s">
        <v>548</v>
      </c>
      <c r="B1" s="4" t="s">
        <v>731</v>
      </c>
      <c r="C1" s="4" t="s">
        <v>732</v>
      </c>
      <c r="D1" s="4" t="s">
        <v>733</v>
      </c>
      <c r="E1" s="4" t="s">
        <v>734</v>
      </c>
      <c r="F1" s="5" t="s">
        <v>735</v>
      </c>
    </row>
    <row r="2" spans="1:6" ht="111" thickBot="1">
      <c r="A2" s="6">
        <v>1</v>
      </c>
      <c r="B2" s="1" t="s">
        <v>736</v>
      </c>
      <c r="C2" s="1" t="s">
        <v>737</v>
      </c>
      <c r="D2" s="13">
        <v>25180</v>
      </c>
      <c r="E2" s="1" t="s">
        <v>738</v>
      </c>
      <c r="F2" s="7" t="s">
        <v>739</v>
      </c>
    </row>
    <row r="3" spans="1:6" ht="271" thickBot="1">
      <c r="A3" s="8">
        <v>2</v>
      </c>
      <c r="B3" s="2" t="s">
        <v>740</v>
      </c>
      <c r="C3" s="2" t="s">
        <v>741</v>
      </c>
      <c r="D3" s="14">
        <v>19043</v>
      </c>
      <c r="E3" s="2" t="s">
        <v>742</v>
      </c>
      <c r="F3" s="9" t="s">
        <v>743</v>
      </c>
    </row>
    <row r="4" spans="1:6" ht="133" thickBot="1">
      <c r="A4" s="6">
        <v>3</v>
      </c>
      <c r="B4" s="1" t="s">
        <v>744</v>
      </c>
      <c r="C4" s="1" t="s">
        <v>745</v>
      </c>
      <c r="D4" s="13">
        <v>23253</v>
      </c>
      <c r="E4" s="1" t="s">
        <v>746</v>
      </c>
      <c r="F4" s="7" t="s">
        <v>747</v>
      </c>
    </row>
    <row r="5" spans="1:6" ht="144" thickBot="1">
      <c r="A5" s="8">
        <v>4</v>
      </c>
      <c r="B5" s="2" t="s">
        <v>748</v>
      </c>
      <c r="C5" s="2" t="s">
        <v>749</v>
      </c>
      <c r="D5" s="14">
        <v>21447</v>
      </c>
      <c r="E5" s="2" t="s">
        <v>750</v>
      </c>
      <c r="F5" s="9" t="s">
        <v>751</v>
      </c>
    </row>
    <row r="6" spans="1:6" ht="271" thickBot="1">
      <c r="A6" s="6">
        <v>5</v>
      </c>
      <c r="B6" s="1" t="s">
        <v>752</v>
      </c>
      <c r="C6" s="1" t="s">
        <v>753</v>
      </c>
      <c r="D6" s="13">
        <v>20152</v>
      </c>
      <c r="E6" s="1" t="s">
        <v>754</v>
      </c>
      <c r="F6" s="7" t="s">
        <v>755</v>
      </c>
    </row>
    <row r="7" spans="1:6" ht="210" thickBot="1">
      <c r="A7" s="8">
        <v>6</v>
      </c>
      <c r="B7" s="2" t="s">
        <v>756</v>
      </c>
      <c r="C7" s="2" t="s">
        <v>757</v>
      </c>
      <c r="D7" s="14">
        <v>23194</v>
      </c>
      <c r="E7" s="2" t="s">
        <v>758</v>
      </c>
      <c r="F7" s="9" t="s">
        <v>759</v>
      </c>
    </row>
    <row r="8" spans="1:6" ht="166" thickBot="1">
      <c r="A8" s="6">
        <v>7</v>
      </c>
      <c r="B8" s="1" t="s">
        <v>760</v>
      </c>
      <c r="C8" s="1" t="s">
        <v>761</v>
      </c>
      <c r="D8" s="13">
        <v>22065</v>
      </c>
      <c r="E8" s="1" t="s">
        <v>762</v>
      </c>
      <c r="F8" s="7" t="s">
        <v>763</v>
      </c>
    </row>
    <row r="9" spans="1:6" ht="89" thickBot="1">
      <c r="A9" s="8">
        <v>8</v>
      </c>
      <c r="B9" s="2" t="s">
        <v>764</v>
      </c>
      <c r="C9" s="2" t="s">
        <v>765</v>
      </c>
      <c r="D9" s="14">
        <v>21194</v>
      </c>
      <c r="E9" s="2" t="s">
        <v>766</v>
      </c>
      <c r="F9" s="9" t="s">
        <v>767</v>
      </c>
    </row>
    <row r="10" spans="1:6" ht="67" thickBot="1">
      <c r="A10" s="6">
        <v>9</v>
      </c>
      <c r="B10" s="1" t="s">
        <v>768</v>
      </c>
      <c r="C10" s="1" t="s">
        <v>769</v>
      </c>
      <c r="D10" s="13">
        <v>25386</v>
      </c>
      <c r="E10" s="1" t="s">
        <v>770</v>
      </c>
      <c r="F10" s="7" t="s">
        <v>771</v>
      </c>
    </row>
    <row r="11" spans="1:6" ht="15" thickBot="1">
      <c r="A11" s="15">
        <v>10</v>
      </c>
      <c r="B11" s="16" t="s">
        <v>772</v>
      </c>
      <c r="C11" s="16" t="s">
        <v>773</v>
      </c>
      <c r="D11" s="17">
        <v>10490</v>
      </c>
      <c r="E11" s="16" t="s">
        <v>774</v>
      </c>
      <c r="F11" s="18" t="s">
        <v>775</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8"/>
  <dimension ref="A1:E197"/>
  <sheetViews>
    <sheetView workbookViewId="0">
      <selection activeCell="D14" sqref="D14"/>
    </sheetView>
  </sheetViews>
  <sheetFormatPr baseColWidth="10" defaultRowHeight="14"/>
  <sheetData>
    <row r="1" spans="1:5" ht="15" thickBot="1">
      <c r="A1" s="3" t="s">
        <v>547</v>
      </c>
      <c r="B1" s="4" t="s">
        <v>0</v>
      </c>
      <c r="C1" s="4" t="s">
        <v>548</v>
      </c>
      <c r="D1" s="4" t="s">
        <v>549</v>
      </c>
      <c r="E1" s="5" t="s">
        <v>550</v>
      </c>
    </row>
    <row r="2" spans="1:5" ht="15" thickBot="1">
      <c r="A2" s="6">
        <v>10248</v>
      </c>
      <c r="B2" s="1">
        <v>90</v>
      </c>
      <c r="C2" s="1">
        <v>5</v>
      </c>
      <c r="D2" s="13">
        <v>35250</v>
      </c>
      <c r="E2" s="7">
        <v>3</v>
      </c>
    </row>
    <row r="3" spans="1:5" ht="15" thickBot="1">
      <c r="A3" s="8">
        <v>10249</v>
      </c>
      <c r="B3" s="2">
        <v>81</v>
      </c>
      <c r="C3" s="2">
        <v>6</v>
      </c>
      <c r="D3" s="14">
        <v>35251</v>
      </c>
      <c r="E3" s="9">
        <v>1</v>
      </c>
    </row>
    <row r="4" spans="1:5" ht="15" thickBot="1">
      <c r="A4" s="6">
        <v>10250</v>
      </c>
      <c r="B4" s="1">
        <v>34</v>
      </c>
      <c r="C4" s="1">
        <v>4</v>
      </c>
      <c r="D4" s="13">
        <v>35254</v>
      </c>
      <c r="E4" s="7">
        <v>2</v>
      </c>
    </row>
    <row r="5" spans="1:5" ht="15" thickBot="1">
      <c r="A5" s="8">
        <v>10251</v>
      </c>
      <c r="B5" s="2">
        <v>84</v>
      </c>
      <c r="C5" s="2">
        <v>3</v>
      </c>
      <c r="D5" s="14">
        <v>35254</v>
      </c>
      <c r="E5" s="9">
        <v>1</v>
      </c>
    </row>
    <row r="6" spans="1:5" ht="15" thickBot="1">
      <c r="A6" s="6">
        <v>10252</v>
      </c>
      <c r="B6" s="1">
        <v>76</v>
      </c>
      <c r="C6" s="1">
        <v>4</v>
      </c>
      <c r="D6" s="13">
        <v>35255</v>
      </c>
      <c r="E6" s="7">
        <v>2</v>
      </c>
    </row>
    <row r="7" spans="1:5" ht="15" thickBot="1">
      <c r="A7" s="8">
        <v>10253</v>
      </c>
      <c r="B7" s="2">
        <v>34</v>
      </c>
      <c r="C7" s="2">
        <v>3</v>
      </c>
      <c r="D7" s="14">
        <v>35256</v>
      </c>
      <c r="E7" s="9">
        <v>2</v>
      </c>
    </row>
    <row r="8" spans="1:5" ht="15" thickBot="1">
      <c r="A8" s="6">
        <v>10254</v>
      </c>
      <c r="B8" s="1">
        <v>14</v>
      </c>
      <c r="C8" s="1">
        <v>5</v>
      </c>
      <c r="D8" s="13">
        <v>35257</v>
      </c>
      <c r="E8" s="7">
        <v>2</v>
      </c>
    </row>
    <row r="9" spans="1:5" ht="15" thickBot="1">
      <c r="A9" s="8">
        <v>10255</v>
      </c>
      <c r="B9" s="2">
        <v>68</v>
      </c>
      <c r="C9" s="2">
        <v>9</v>
      </c>
      <c r="D9" s="14">
        <v>35258</v>
      </c>
      <c r="E9" s="9">
        <v>3</v>
      </c>
    </row>
    <row r="10" spans="1:5" ht="15" thickBot="1">
      <c r="A10" s="6">
        <v>10256</v>
      </c>
      <c r="B10" s="1">
        <v>88</v>
      </c>
      <c r="C10" s="1">
        <v>3</v>
      </c>
      <c r="D10" s="13">
        <v>35261</v>
      </c>
      <c r="E10" s="7">
        <v>2</v>
      </c>
    </row>
    <row r="11" spans="1:5" ht="15" thickBot="1">
      <c r="A11" s="8">
        <v>10257</v>
      </c>
      <c r="B11" s="2">
        <v>35</v>
      </c>
      <c r="C11" s="2">
        <v>4</v>
      </c>
      <c r="D11" s="14">
        <v>35262</v>
      </c>
      <c r="E11" s="9">
        <v>3</v>
      </c>
    </row>
    <row r="12" spans="1:5" ht="15" thickBot="1">
      <c r="A12" s="6">
        <v>10258</v>
      </c>
      <c r="B12" s="1">
        <v>20</v>
      </c>
      <c r="C12" s="1">
        <v>1</v>
      </c>
      <c r="D12" s="13">
        <v>35263</v>
      </c>
      <c r="E12" s="7">
        <v>1</v>
      </c>
    </row>
    <row r="13" spans="1:5" ht="15" thickBot="1">
      <c r="A13" s="8">
        <v>10259</v>
      </c>
      <c r="B13" s="2">
        <v>13</v>
      </c>
      <c r="C13" s="2">
        <v>4</v>
      </c>
      <c r="D13" s="14">
        <v>35264</v>
      </c>
      <c r="E13" s="9">
        <v>3</v>
      </c>
    </row>
    <row r="14" spans="1:5" ht="15" thickBot="1">
      <c r="A14" s="6">
        <v>10260</v>
      </c>
      <c r="B14" s="1">
        <v>55</v>
      </c>
      <c r="C14" s="1">
        <v>4</v>
      </c>
      <c r="D14" s="13">
        <v>35265</v>
      </c>
      <c r="E14" s="7">
        <v>1</v>
      </c>
    </row>
    <row r="15" spans="1:5" ht="15" thickBot="1">
      <c r="A15" s="8">
        <v>10261</v>
      </c>
      <c r="B15" s="2">
        <v>61</v>
      </c>
      <c r="C15" s="2">
        <v>4</v>
      </c>
      <c r="D15" s="14">
        <v>35265</v>
      </c>
      <c r="E15" s="9">
        <v>2</v>
      </c>
    </row>
    <row r="16" spans="1:5" ht="15" thickBot="1">
      <c r="A16" s="6">
        <v>10262</v>
      </c>
      <c r="B16" s="1">
        <v>65</v>
      </c>
      <c r="C16" s="1">
        <v>8</v>
      </c>
      <c r="D16" s="13">
        <v>35268</v>
      </c>
      <c r="E16" s="7">
        <v>3</v>
      </c>
    </row>
    <row r="17" spans="1:5" ht="15" thickBot="1">
      <c r="A17" s="8">
        <v>10263</v>
      </c>
      <c r="B17" s="2">
        <v>20</v>
      </c>
      <c r="C17" s="2">
        <v>9</v>
      </c>
      <c r="D17" s="14">
        <v>35269</v>
      </c>
      <c r="E17" s="9">
        <v>3</v>
      </c>
    </row>
    <row r="18" spans="1:5" ht="15" thickBot="1">
      <c r="A18" s="6">
        <v>10264</v>
      </c>
      <c r="B18" s="1">
        <v>24</v>
      </c>
      <c r="C18" s="1">
        <v>6</v>
      </c>
      <c r="D18" s="13">
        <v>35270</v>
      </c>
      <c r="E18" s="7">
        <v>3</v>
      </c>
    </row>
    <row r="19" spans="1:5" ht="15" thickBot="1">
      <c r="A19" s="8">
        <v>10265</v>
      </c>
      <c r="B19" s="2">
        <v>7</v>
      </c>
      <c r="C19" s="2">
        <v>2</v>
      </c>
      <c r="D19" s="14">
        <v>35271</v>
      </c>
      <c r="E19" s="9">
        <v>1</v>
      </c>
    </row>
    <row r="20" spans="1:5" ht="15" thickBot="1">
      <c r="A20" s="6">
        <v>10266</v>
      </c>
      <c r="B20" s="1">
        <v>87</v>
      </c>
      <c r="C20" s="1">
        <v>3</v>
      </c>
      <c r="D20" s="13">
        <v>35272</v>
      </c>
      <c r="E20" s="7">
        <v>3</v>
      </c>
    </row>
    <row r="21" spans="1:5" ht="15" thickBot="1">
      <c r="A21" s="8">
        <v>10267</v>
      </c>
      <c r="B21" s="2">
        <v>25</v>
      </c>
      <c r="C21" s="2">
        <v>4</v>
      </c>
      <c r="D21" s="14">
        <v>35275</v>
      </c>
      <c r="E21" s="9">
        <v>1</v>
      </c>
    </row>
    <row r="22" spans="1:5" ht="15" thickBot="1">
      <c r="A22" s="6">
        <v>10268</v>
      </c>
      <c r="B22" s="1">
        <v>33</v>
      </c>
      <c r="C22" s="1">
        <v>8</v>
      </c>
      <c r="D22" s="13">
        <v>35276</v>
      </c>
      <c r="E22" s="7">
        <v>3</v>
      </c>
    </row>
    <row r="23" spans="1:5" ht="15" thickBot="1">
      <c r="A23" s="8">
        <v>10269</v>
      </c>
      <c r="B23" s="2">
        <v>89</v>
      </c>
      <c r="C23" s="2">
        <v>5</v>
      </c>
      <c r="D23" s="14">
        <v>35277</v>
      </c>
      <c r="E23" s="9">
        <v>1</v>
      </c>
    </row>
    <row r="24" spans="1:5" ht="15" thickBot="1">
      <c r="A24" s="6">
        <v>10270</v>
      </c>
      <c r="B24" s="1">
        <v>87</v>
      </c>
      <c r="C24" s="1">
        <v>1</v>
      </c>
      <c r="D24" s="13">
        <v>35278</v>
      </c>
      <c r="E24" s="7">
        <v>1</v>
      </c>
    </row>
    <row r="25" spans="1:5" ht="15" thickBot="1">
      <c r="A25" s="8">
        <v>10271</v>
      </c>
      <c r="B25" s="2">
        <v>75</v>
      </c>
      <c r="C25" s="2">
        <v>6</v>
      </c>
      <c r="D25" s="14">
        <v>35278</v>
      </c>
      <c r="E25" s="9">
        <v>2</v>
      </c>
    </row>
    <row r="26" spans="1:5" ht="15" thickBot="1">
      <c r="A26" s="6">
        <v>10272</v>
      </c>
      <c r="B26" s="1">
        <v>65</v>
      </c>
      <c r="C26" s="1">
        <v>6</v>
      </c>
      <c r="D26" s="13">
        <v>35279</v>
      </c>
      <c r="E26" s="7">
        <v>2</v>
      </c>
    </row>
    <row r="27" spans="1:5" ht="15" thickBot="1">
      <c r="A27" s="8">
        <v>10273</v>
      </c>
      <c r="B27" s="2">
        <v>63</v>
      </c>
      <c r="C27" s="2">
        <v>3</v>
      </c>
      <c r="D27" s="14">
        <v>35282</v>
      </c>
      <c r="E27" s="9">
        <v>3</v>
      </c>
    </row>
    <row r="28" spans="1:5" ht="15" thickBot="1">
      <c r="A28" s="6">
        <v>10274</v>
      </c>
      <c r="B28" s="1">
        <v>85</v>
      </c>
      <c r="C28" s="1">
        <v>6</v>
      </c>
      <c r="D28" s="13">
        <v>35283</v>
      </c>
      <c r="E28" s="7">
        <v>1</v>
      </c>
    </row>
    <row r="29" spans="1:5" ht="15" thickBot="1">
      <c r="A29" s="8">
        <v>10275</v>
      </c>
      <c r="B29" s="2">
        <v>49</v>
      </c>
      <c r="C29" s="2">
        <v>1</v>
      </c>
      <c r="D29" s="14">
        <v>35284</v>
      </c>
      <c r="E29" s="9">
        <v>1</v>
      </c>
    </row>
    <row r="30" spans="1:5" ht="15" thickBot="1">
      <c r="A30" s="6">
        <v>10276</v>
      </c>
      <c r="B30" s="1">
        <v>80</v>
      </c>
      <c r="C30" s="1">
        <v>8</v>
      </c>
      <c r="D30" s="13">
        <v>35285</v>
      </c>
      <c r="E30" s="7">
        <v>3</v>
      </c>
    </row>
    <row r="31" spans="1:5" ht="15" thickBot="1">
      <c r="A31" s="8">
        <v>10277</v>
      </c>
      <c r="B31" s="2">
        <v>52</v>
      </c>
      <c r="C31" s="2">
        <v>2</v>
      </c>
      <c r="D31" s="14">
        <v>35286</v>
      </c>
      <c r="E31" s="9">
        <v>3</v>
      </c>
    </row>
    <row r="32" spans="1:5" ht="15" thickBot="1">
      <c r="A32" s="6">
        <v>10278</v>
      </c>
      <c r="B32" s="1">
        <v>5</v>
      </c>
      <c r="C32" s="1">
        <v>8</v>
      </c>
      <c r="D32" s="13">
        <v>35289</v>
      </c>
      <c r="E32" s="7">
        <v>2</v>
      </c>
    </row>
    <row r="33" spans="1:5" ht="15" thickBot="1">
      <c r="A33" s="8">
        <v>10279</v>
      </c>
      <c r="B33" s="2">
        <v>44</v>
      </c>
      <c r="C33" s="2">
        <v>8</v>
      </c>
      <c r="D33" s="14">
        <v>35290</v>
      </c>
      <c r="E33" s="9">
        <v>2</v>
      </c>
    </row>
    <row r="34" spans="1:5" ht="15" thickBot="1">
      <c r="A34" s="6">
        <v>10280</v>
      </c>
      <c r="B34" s="1">
        <v>5</v>
      </c>
      <c r="C34" s="1">
        <v>2</v>
      </c>
      <c r="D34" s="13">
        <v>35291</v>
      </c>
      <c r="E34" s="7">
        <v>1</v>
      </c>
    </row>
    <row r="35" spans="1:5" ht="15" thickBot="1">
      <c r="A35" s="8">
        <v>10281</v>
      </c>
      <c r="B35" s="2">
        <v>69</v>
      </c>
      <c r="C35" s="2">
        <v>4</v>
      </c>
      <c r="D35" s="14">
        <v>35291</v>
      </c>
      <c r="E35" s="9">
        <v>1</v>
      </c>
    </row>
    <row r="36" spans="1:5" ht="15" thickBot="1">
      <c r="A36" s="6">
        <v>10282</v>
      </c>
      <c r="B36" s="1">
        <v>69</v>
      </c>
      <c r="C36" s="1">
        <v>4</v>
      </c>
      <c r="D36" s="13">
        <v>35292</v>
      </c>
      <c r="E36" s="7">
        <v>1</v>
      </c>
    </row>
    <row r="37" spans="1:5" ht="15" thickBot="1">
      <c r="A37" s="8">
        <v>10283</v>
      </c>
      <c r="B37" s="2">
        <v>46</v>
      </c>
      <c r="C37" s="2">
        <v>3</v>
      </c>
      <c r="D37" s="14">
        <v>35293</v>
      </c>
      <c r="E37" s="9">
        <v>3</v>
      </c>
    </row>
    <row r="38" spans="1:5" ht="15" thickBot="1">
      <c r="A38" s="6">
        <v>10284</v>
      </c>
      <c r="B38" s="1">
        <v>44</v>
      </c>
      <c r="C38" s="1">
        <v>4</v>
      </c>
      <c r="D38" s="13">
        <v>35296</v>
      </c>
      <c r="E38" s="7">
        <v>1</v>
      </c>
    </row>
    <row r="39" spans="1:5" ht="15" thickBot="1">
      <c r="A39" s="8">
        <v>10285</v>
      </c>
      <c r="B39" s="2">
        <v>63</v>
      </c>
      <c r="C39" s="2">
        <v>1</v>
      </c>
      <c r="D39" s="14">
        <v>35297</v>
      </c>
      <c r="E39" s="9">
        <v>2</v>
      </c>
    </row>
    <row r="40" spans="1:5" ht="15" thickBot="1">
      <c r="A40" s="6">
        <v>10286</v>
      </c>
      <c r="B40" s="1">
        <v>63</v>
      </c>
      <c r="C40" s="1">
        <v>8</v>
      </c>
      <c r="D40" s="13">
        <v>35298</v>
      </c>
      <c r="E40" s="7">
        <v>3</v>
      </c>
    </row>
    <row r="41" spans="1:5" ht="15" thickBot="1">
      <c r="A41" s="8">
        <v>10287</v>
      </c>
      <c r="B41" s="2">
        <v>67</v>
      </c>
      <c r="C41" s="2">
        <v>8</v>
      </c>
      <c r="D41" s="14">
        <v>35299</v>
      </c>
      <c r="E41" s="9">
        <v>3</v>
      </c>
    </row>
    <row r="42" spans="1:5" ht="15" thickBot="1">
      <c r="A42" s="6">
        <v>10288</v>
      </c>
      <c r="B42" s="1">
        <v>66</v>
      </c>
      <c r="C42" s="1">
        <v>4</v>
      </c>
      <c r="D42" s="13">
        <v>35300</v>
      </c>
      <c r="E42" s="7">
        <v>1</v>
      </c>
    </row>
    <row r="43" spans="1:5" ht="15" thickBot="1">
      <c r="A43" s="8">
        <v>10289</v>
      </c>
      <c r="B43" s="2">
        <v>11</v>
      </c>
      <c r="C43" s="2">
        <v>7</v>
      </c>
      <c r="D43" s="14">
        <v>35303</v>
      </c>
      <c r="E43" s="9">
        <v>3</v>
      </c>
    </row>
    <row r="44" spans="1:5" ht="15" thickBot="1">
      <c r="A44" s="6">
        <v>10290</v>
      </c>
      <c r="B44" s="1">
        <v>15</v>
      </c>
      <c r="C44" s="1">
        <v>8</v>
      </c>
      <c r="D44" s="13">
        <v>35304</v>
      </c>
      <c r="E44" s="7">
        <v>1</v>
      </c>
    </row>
    <row r="45" spans="1:5" ht="15" thickBot="1">
      <c r="A45" s="8">
        <v>10291</v>
      </c>
      <c r="B45" s="2">
        <v>61</v>
      </c>
      <c r="C45" s="2">
        <v>6</v>
      </c>
      <c r="D45" s="14">
        <v>35304</v>
      </c>
      <c r="E45" s="9">
        <v>2</v>
      </c>
    </row>
    <row r="46" spans="1:5" ht="15" thickBot="1">
      <c r="A46" s="6">
        <v>10292</v>
      </c>
      <c r="B46" s="1">
        <v>81</v>
      </c>
      <c r="C46" s="1">
        <v>1</v>
      </c>
      <c r="D46" s="13">
        <v>35305</v>
      </c>
      <c r="E46" s="7">
        <v>2</v>
      </c>
    </row>
    <row r="47" spans="1:5" ht="15" thickBot="1">
      <c r="A47" s="8">
        <v>10293</v>
      </c>
      <c r="B47" s="2">
        <v>80</v>
      </c>
      <c r="C47" s="2">
        <v>1</v>
      </c>
      <c r="D47" s="14">
        <v>35306</v>
      </c>
      <c r="E47" s="9">
        <v>3</v>
      </c>
    </row>
    <row r="48" spans="1:5" ht="15" thickBot="1">
      <c r="A48" s="6">
        <v>10294</v>
      </c>
      <c r="B48" s="1">
        <v>65</v>
      </c>
      <c r="C48" s="1">
        <v>4</v>
      </c>
      <c r="D48" s="13">
        <v>35307</v>
      </c>
      <c r="E48" s="7">
        <v>2</v>
      </c>
    </row>
    <row r="49" spans="1:5" ht="15" thickBot="1">
      <c r="A49" s="8">
        <v>10295</v>
      </c>
      <c r="B49" s="2">
        <v>85</v>
      </c>
      <c r="C49" s="2">
        <v>2</v>
      </c>
      <c r="D49" s="14">
        <v>35310</v>
      </c>
      <c r="E49" s="9">
        <v>2</v>
      </c>
    </row>
    <row r="50" spans="1:5" ht="15" thickBot="1">
      <c r="A50" s="6">
        <v>10296</v>
      </c>
      <c r="B50" s="1">
        <v>46</v>
      </c>
      <c r="C50" s="1">
        <v>6</v>
      </c>
      <c r="D50" s="13">
        <v>35311</v>
      </c>
      <c r="E50" s="7">
        <v>1</v>
      </c>
    </row>
    <row r="51" spans="1:5" ht="15" thickBot="1">
      <c r="A51" s="8">
        <v>10297</v>
      </c>
      <c r="B51" s="2">
        <v>7</v>
      </c>
      <c r="C51" s="2">
        <v>5</v>
      </c>
      <c r="D51" s="14">
        <v>35312</v>
      </c>
      <c r="E51" s="9">
        <v>2</v>
      </c>
    </row>
    <row r="52" spans="1:5" ht="15" thickBot="1">
      <c r="A52" s="6">
        <v>10298</v>
      </c>
      <c r="B52" s="1">
        <v>37</v>
      </c>
      <c r="C52" s="1">
        <v>6</v>
      </c>
      <c r="D52" s="13">
        <v>35313</v>
      </c>
      <c r="E52" s="7">
        <v>2</v>
      </c>
    </row>
    <row r="53" spans="1:5" ht="15" thickBot="1">
      <c r="A53" s="8">
        <v>10299</v>
      </c>
      <c r="B53" s="2">
        <v>67</v>
      </c>
      <c r="C53" s="2">
        <v>4</v>
      </c>
      <c r="D53" s="14">
        <v>35314</v>
      </c>
      <c r="E53" s="9">
        <v>2</v>
      </c>
    </row>
    <row r="54" spans="1:5" ht="15" thickBot="1">
      <c r="A54" s="6">
        <v>10300</v>
      </c>
      <c r="B54" s="1">
        <v>49</v>
      </c>
      <c r="C54" s="1">
        <v>2</v>
      </c>
      <c r="D54" s="13">
        <v>35317</v>
      </c>
      <c r="E54" s="7">
        <v>2</v>
      </c>
    </row>
    <row r="55" spans="1:5" ht="15" thickBot="1">
      <c r="A55" s="8">
        <v>10301</v>
      </c>
      <c r="B55" s="2">
        <v>86</v>
      </c>
      <c r="C55" s="2">
        <v>8</v>
      </c>
      <c r="D55" s="14">
        <v>35317</v>
      </c>
      <c r="E55" s="9">
        <v>2</v>
      </c>
    </row>
    <row r="56" spans="1:5" ht="15" thickBot="1">
      <c r="A56" s="6">
        <v>10302</v>
      </c>
      <c r="B56" s="1">
        <v>76</v>
      </c>
      <c r="C56" s="1">
        <v>4</v>
      </c>
      <c r="D56" s="13">
        <v>35318</v>
      </c>
      <c r="E56" s="7">
        <v>2</v>
      </c>
    </row>
    <row r="57" spans="1:5" ht="15" thickBot="1">
      <c r="A57" s="8">
        <v>10303</v>
      </c>
      <c r="B57" s="2">
        <v>30</v>
      </c>
      <c r="C57" s="2">
        <v>7</v>
      </c>
      <c r="D57" s="14">
        <v>35319</v>
      </c>
      <c r="E57" s="9">
        <v>2</v>
      </c>
    </row>
    <row r="58" spans="1:5" ht="15" thickBot="1">
      <c r="A58" s="6">
        <v>10304</v>
      </c>
      <c r="B58" s="1">
        <v>80</v>
      </c>
      <c r="C58" s="1">
        <v>1</v>
      </c>
      <c r="D58" s="13">
        <v>35320</v>
      </c>
      <c r="E58" s="7">
        <v>2</v>
      </c>
    </row>
    <row r="59" spans="1:5" ht="15" thickBot="1">
      <c r="A59" s="8">
        <v>10305</v>
      </c>
      <c r="B59" s="2">
        <v>55</v>
      </c>
      <c r="C59" s="2">
        <v>8</v>
      </c>
      <c r="D59" s="14">
        <v>35321</v>
      </c>
      <c r="E59" s="9">
        <v>3</v>
      </c>
    </row>
    <row r="60" spans="1:5" ht="15" thickBot="1">
      <c r="A60" s="6">
        <v>10306</v>
      </c>
      <c r="B60" s="1">
        <v>69</v>
      </c>
      <c r="C60" s="1">
        <v>1</v>
      </c>
      <c r="D60" s="13">
        <v>35324</v>
      </c>
      <c r="E60" s="7">
        <v>3</v>
      </c>
    </row>
    <row r="61" spans="1:5" ht="15" thickBot="1">
      <c r="A61" s="8">
        <v>10307</v>
      </c>
      <c r="B61" s="2">
        <v>48</v>
      </c>
      <c r="C61" s="2">
        <v>2</v>
      </c>
      <c r="D61" s="14">
        <v>35325</v>
      </c>
      <c r="E61" s="9">
        <v>2</v>
      </c>
    </row>
    <row r="62" spans="1:5" ht="15" thickBot="1">
      <c r="A62" s="6">
        <v>10308</v>
      </c>
      <c r="B62" s="1">
        <v>2</v>
      </c>
      <c r="C62" s="1">
        <v>7</v>
      </c>
      <c r="D62" s="13">
        <v>35326</v>
      </c>
      <c r="E62" s="7">
        <v>3</v>
      </c>
    </row>
    <row r="63" spans="1:5" ht="15" thickBot="1">
      <c r="A63" s="8">
        <v>10309</v>
      </c>
      <c r="B63" s="2">
        <v>37</v>
      </c>
      <c r="C63" s="2">
        <v>3</v>
      </c>
      <c r="D63" s="14">
        <v>35327</v>
      </c>
      <c r="E63" s="9">
        <v>1</v>
      </c>
    </row>
    <row r="64" spans="1:5" ht="15" thickBot="1">
      <c r="A64" s="6">
        <v>10310</v>
      </c>
      <c r="B64" s="1">
        <v>77</v>
      </c>
      <c r="C64" s="1">
        <v>8</v>
      </c>
      <c r="D64" s="13">
        <v>35328</v>
      </c>
      <c r="E64" s="7">
        <v>2</v>
      </c>
    </row>
    <row r="65" spans="1:5" ht="15" thickBot="1">
      <c r="A65" s="8">
        <v>10311</v>
      </c>
      <c r="B65" s="2">
        <v>18</v>
      </c>
      <c r="C65" s="2">
        <v>1</v>
      </c>
      <c r="D65" s="14">
        <v>35328</v>
      </c>
      <c r="E65" s="9">
        <v>3</v>
      </c>
    </row>
    <row r="66" spans="1:5" ht="15" thickBot="1">
      <c r="A66" s="6">
        <v>10312</v>
      </c>
      <c r="B66" s="1">
        <v>86</v>
      </c>
      <c r="C66" s="1">
        <v>2</v>
      </c>
      <c r="D66" s="13">
        <v>35331</v>
      </c>
      <c r="E66" s="7">
        <v>2</v>
      </c>
    </row>
    <row r="67" spans="1:5" ht="15" thickBot="1">
      <c r="A67" s="8">
        <v>10313</v>
      </c>
      <c r="B67" s="2">
        <v>63</v>
      </c>
      <c r="C67" s="2">
        <v>2</v>
      </c>
      <c r="D67" s="14">
        <v>35332</v>
      </c>
      <c r="E67" s="9">
        <v>2</v>
      </c>
    </row>
    <row r="68" spans="1:5" ht="15" thickBot="1">
      <c r="A68" s="6">
        <v>10314</v>
      </c>
      <c r="B68" s="1">
        <v>65</v>
      </c>
      <c r="C68" s="1">
        <v>1</v>
      </c>
      <c r="D68" s="13">
        <v>35333</v>
      </c>
      <c r="E68" s="7">
        <v>2</v>
      </c>
    </row>
    <row r="69" spans="1:5" ht="15" thickBot="1">
      <c r="A69" s="8">
        <v>10315</v>
      </c>
      <c r="B69" s="2">
        <v>38</v>
      </c>
      <c r="C69" s="2">
        <v>4</v>
      </c>
      <c r="D69" s="14">
        <v>35334</v>
      </c>
      <c r="E69" s="9">
        <v>2</v>
      </c>
    </row>
    <row r="70" spans="1:5" ht="15" thickBot="1">
      <c r="A70" s="6">
        <v>10316</v>
      </c>
      <c r="B70" s="1">
        <v>65</v>
      </c>
      <c r="C70" s="1">
        <v>1</v>
      </c>
      <c r="D70" s="13">
        <v>35335</v>
      </c>
      <c r="E70" s="7">
        <v>3</v>
      </c>
    </row>
    <row r="71" spans="1:5" ht="15" thickBot="1">
      <c r="A71" s="8">
        <v>10317</v>
      </c>
      <c r="B71" s="2">
        <v>48</v>
      </c>
      <c r="C71" s="2">
        <v>6</v>
      </c>
      <c r="D71" s="14">
        <v>35338</v>
      </c>
      <c r="E71" s="9">
        <v>1</v>
      </c>
    </row>
    <row r="72" spans="1:5" ht="15" thickBot="1">
      <c r="A72" s="6">
        <v>10318</v>
      </c>
      <c r="B72" s="1">
        <v>38</v>
      </c>
      <c r="C72" s="1">
        <v>8</v>
      </c>
      <c r="D72" s="13">
        <v>35339</v>
      </c>
      <c r="E72" s="7">
        <v>2</v>
      </c>
    </row>
    <row r="73" spans="1:5" ht="15" thickBot="1">
      <c r="A73" s="8">
        <v>10319</v>
      </c>
      <c r="B73" s="2">
        <v>80</v>
      </c>
      <c r="C73" s="2">
        <v>7</v>
      </c>
      <c r="D73" s="14">
        <v>35340</v>
      </c>
      <c r="E73" s="9">
        <v>3</v>
      </c>
    </row>
    <row r="74" spans="1:5" ht="15" thickBot="1">
      <c r="A74" s="6">
        <v>10320</v>
      </c>
      <c r="B74" s="1">
        <v>87</v>
      </c>
      <c r="C74" s="1">
        <v>5</v>
      </c>
      <c r="D74" s="13">
        <v>35341</v>
      </c>
      <c r="E74" s="7">
        <v>3</v>
      </c>
    </row>
    <row r="75" spans="1:5" ht="15" thickBot="1">
      <c r="A75" s="8">
        <v>10321</v>
      </c>
      <c r="B75" s="2">
        <v>38</v>
      </c>
      <c r="C75" s="2">
        <v>3</v>
      </c>
      <c r="D75" s="14">
        <v>35341</v>
      </c>
      <c r="E75" s="9">
        <v>2</v>
      </c>
    </row>
    <row r="76" spans="1:5" ht="15" thickBot="1">
      <c r="A76" s="6">
        <v>10322</v>
      </c>
      <c r="B76" s="1">
        <v>58</v>
      </c>
      <c r="C76" s="1">
        <v>7</v>
      </c>
      <c r="D76" s="13">
        <v>35342</v>
      </c>
      <c r="E76" s="7">
        <v>3</v>
      </c>
    </row>
    <row r="77" spans="1:5" ht="15" thickBot="1">
      <c r="A77" s="8">
        <v>10323</v>
      </c>
      <c r="B77" s="2">
        <v>39</v>
      </c>
      <c r="C77" s="2">
        <v>4</v>
      </c>
      <c r="D77" s="14">
        <v>35345</v>
      </c>
      <c r="E77" s="9">
        <v>1</v>
      </c>
    </row>
    <row r="78" spans="1:5" ht="15" thickBot="1">
      <c r="A78" s="6">
        <v>10324</v>
      </c>
      <c r="B78" s="1">
        <v>71</v>
      </c>
      <c r="C78" s="1">
        <v>9</v>
      </c>
      <c r="D78" s="13">
        <v>35346</v>
      </c>
      <c r="E78" s="7">
        <v>1</v>
      </c>
    </row>
    <row r="79" spans="1:5" ht="15" thickBot="1">
      <c r="A79" s="8">
        <v>10325</v>
      </c>
      <c r="B79" s="2">
        <v>39</v>
      </c>
      <c r="C79" s="2">
        <v>1</v>
      </c>
      <c r="D79" s="14">
        <v>35347</v>
      </c>
      <c r="E79" s="9">
        <v>3</v>
      </c>
    </row>
    <row r="80" spans="1:5" ht="15" thickBot="1">
      <c r="A80" s="6">
        <v>10326</v>
      </c>
      <c r="B80" s="1">
        <v>8</v>
      </c>
      <c r="C80" s="1">
        <v>4</v>
      </c>
      <c r="D80" s="13">
        <v>35348</v>
      </c>
      <c r="E80" s="7">
        <v>2</v>
      </c>
    </row>
    <row r="81" spans="1:5" ht="15" thickBot="1">
      <c r="A81" s="8">
        <v>10327</v>
      </c>
      <c r="B81" s="2">
        <v>24</v>
      </c>
      <c r="C81" s="2">
        <v>2</v>
      </c>
      <c r="D81" s="14">
        <v>35349</v>
      </c>
      <c r="E81" s="9">
        <v>1</v>
      </c>
    </row>
    <row r="82" spans="1:5" ht="15" thickBot="1">
      <c r="A82" s="6">
        <v>10328</v>
      </c>
      <c r="B82" s="1">
        <v>28</v>
      </c>
      <c r="C82" s="1">
        <v>4</v>
      </c>
      <c r="D82" s="13">
        <v>35352</v>
      </c>
      <c r="E82" s="7">
        <v>3</v>
      </c>
    </row>
    <row r="83" spans="1:5" ht="15" thickBot="1">
      <c r="A83" s="8">
        <v>10329</v>
      </c>
      <c r="B83" s="2">
        <v>75</v>
      </c>
      <c r="C83" s="2">
        <v>4</v>
      </c>
      <c r="D83" s="14">
        <v>35353</v>
      </c>
      <c r="E83" s="9">
        <v>2</v>
      </c>
    </row>
    <row r="84" spans="1:5" ht="15" thickBot="1">
      <c r="A84" s="6">
        <v>10330</v>
      </c>
      <c r="B84" s="1">
        <v>46</v>
      </c>
      <c r="C84" s="1">
        <v>3</v>
      </c>
      <c r="D84" s="13">
        <v>35354</v>
      </c>
      <c r="E84" s="7">
        <v>1</v>
      </c>
    </row>
    <row r="85" spans="1:5" ht="15" thickBot="1">
      <c r="A85" s="8">
        <v>10331</v>
      </c>
      <c r="B85" s="2">
        <v>9</v>
      </c>
      <c r="C85" s="2">
        <v>9</v>
      </c>
      <c r="D85" s="14">
        <v>35354</v>
      </c>
      <c r="E85" s="9">
        <v>1</v>
      </c>
    </row>
    <row r="86" spans="1:5" ht="15" thickBot="1">
      <c r="A86" s="6">
        <v>10332</v>
      </c>
      <c r="B86" s="1">
        <v>51</v>
      </c>
      <c r="C86" s="1">
        <v>3</v>
      </c>
      <c r="D86" s="13">
        <v>35355</v>
      </c>
      <c r="E86" s="7">
        <v>2</v>
      </c>
    </row>
    <row r="87" spans="1:5" ht="15" thickBot="1">
      <c r="A87" s="8">
        <v>10333</v>
      </c>
      <c r="B87" s="2">
        <v>87</v>
      </c>
      <c r="C87" s="2">
        <v>5</v>
      </c>
      <c r="D87" s="14">
        <v>35356</v>
      </c>
      <c r="E87" s="9">
        <v>3</v>
      </c>
    </row>
    <row r="88" spans="1:5" ht="15" thickBot="1">
      <c r="A88" s="6">
        <v>10334</v>
      </c>
      <c r="B88" s="1">
        <v>84</v>
      </c>
      <c r="C88" s="1">
        <v>8</v>
      </c>
      <c r="D88" s="13">
        <v>35359</v>
      </c>
      <c r="E88" s="7">
        <v>2</v>
      </c>
    </row>
    <row r="89" spans="1:5" ht="15" thickBot="1">
      <c r="A89" s="8">
        <v>10335</v>
      </c>
      <c r="B89" s="2">
        <v>37</v>
      </c>
      <c r="C89" s="2">
        <v>7</v>
      </c>
      <c r="D89" s="14">
        <v>35360</v>
      </c>
      <c r="E89" s="9">
        <v>2</v>
      </c>
    </row>
    <row r="90" spans="1:5" ht="15" thickBot="1">
      <c r="A90" s="6">
        <v>10336</v>
      </c>
      <c r="B90" s="1">
        <v>60</v>
      </c>
      <c r="C90" s="1">
        <v>7</v>
      </c>
      <c r="D90" s="13">
        <v>35361</v>
      </c>
      <c r="E90" s="7">
        <v>2</v>
      </c>
    </row>
    <row r="91" spans="1:5" ht="15" thickBot="1">
      <c r="A91" s="8">
        <v>10337</v>
      </c>
      <c r="B91" s="2">
        <v>25</v>
      </c>
      <c r="C91" s="2">
        <v>4</v>
      </c>
      <c r="D91" s="14">
        <v>35362</v>
      </c>
      <c r="E91" s="9">
        <v>3</v>
      </c>
    </row>
    <row r="92" spans="1:5" ht="15" thickBot="1">
      <c r="A92" s="6">
        <v>10338</v>
      </c>
      <c r="B92" s="1">
        <v>55</v>
      </c>
      <c r="C92" s="1">
        <v>4</v>
      </c>
      <c r="D92" s="13">
        <v>35363</v>
      </c>
      <c r="E92" s="7">
        <v>3</v>
      </c>
    </row>
    <row r="93" spans="1:5" ht="15" thickBot="1">
      <c r="A93" s="8">
        <v>10339</v>
      </c>
      <c r="B93" s="2">
        <v>51</v>
      </c>
      <c r="C93" s="2">
        <v>2</v>
      </c>
      <c r="D93" s="14">
        <v>35366</v>
      </c>
      <c r="E93" s="9">
        <v>2</v>
      </c>
    </row>
    <row r="94" spans="1:5" ht="15" thickBot="1">
      <c r="A94" s="6">
        <v>10340</v>
      </c>
      <c r="B94" s="1">
        <v>9</v>
      </c>
      <c r="C94" s="1">
        <v>1</v>
      </c>
      <c r="D94" s="13">
        <v>35367</v>
      </c>
      <c r="E94" s="7">
        <v>3</v>
      </c>
    </row>
    <row r="95" spans="1:5" ht="15" thickBot="1">
      <c r="A95" s="8">
        <v>10341</v>
      </c>
      <c r="B95" s="2">
        <v>73</v>
      </c>
      <c r="C95" s="2">
        <v>7</v>
      </c>
      <c r="D95" s="14">
        <v>35367</v>
      </c>
      <c r="E95" s="9">
        <v>3</v>
      </c>
    </row>
    <row r="96" spans="1:5" ht="15" thickBot="1">
      <c r="A96" s="6">
        <v>10342</v>
      </c>
      <c r="B96" s="1">
        <v>25</v>
      </c>
      <c r="C96" s="1">
        <v>4</v>
      </c>
      <c r="D96" s="13">
        <v>35368</v>
      </c>
      <c r="E96" s="7">
        <v>2</v>
      </c>
    </row>
    <row r="97" spans="1:5" ht="15" thickBot="1">
      <c r="A97" s="8">
        <v>10343</v>
      </c>
      <c r="B97" s="2">
        <v>44</v>
      </c>
      <c r="C97" s="2">
        <v>4</v>
      </c>
      <c r="D97" s="14">
        <v>35369</v>
      </c>
      <c r="E97" s="9">
        <v>1</v>
      </c>
    </row>
    <row r="98" spans="1:5" ht="15" thickBot="1">
      <c r="A98" s="6">
        <v>10344</v>
      </c>
      <c r="B98" s="1">
        <v>89</v>
      </c>
      <c r="C98" s="1">
        <v>4</v>
      </c>
      <c r="D98" s="13">
        <v>35370</v>
      </c>
      <c r="E98" s="7">
        <v>2</v>
      </c>
    </row>
    <row r="99" spans="1:5" ht="15" thickBot="1">
      <c r="A99" s="8">
        <v>10345</v>
      </c>
      <c r="B99" s="2">
        <v>63</v>
      </c>
      <c r="C99" s="2">
        <v>2</v>
      </c>
      <c r="D99" s="14">
        <v>35373</v>
      </c>
      <c r="E99" s="9">
        <v>2</v>
      </c>
    </row>
    <row r="100" spans="1:5" ht="15" thickBot="1">
      <c r="A100" s="6">
        <v>10346</v>
      </c>
      <c r="B100" s="1">
        <v>65</v>
      </c>
      <c r="C100" s="1">
        <v>3</v>
      </c>
      <c r="D100" s="13">
        <v>35374</v>
      </c>
      <c r="E100" s="7">
        <v>3</v>
      </c>
    </row>
    <row r="101" spans="1:5" ht="15" thickBot="1">
      <c r="A101" s="8">
        <v>10347</v>
      </c>
      <c r="B101" s="2">
        <v>21</v>
      </c>
      <c r="C101" s="2">
        <v>4</v>
      </c>
      <c r="D101" s="14">
        <v>35375</v>
      </c>
      <c r="E101" s="9">
        <v>3</v>
      </c>
    </row>
    <row r="102" spans="1:5" ht="15" thickBot="1">
      <c r="A102" s="6">
        <v>10348</v>
      </c>
      <c r="B102" s="1">
        <v>86</v>
      </c>
      <c r="C102" s="1">
        <v>4</v>
      </c>
      <c r="D102" s="13">
        <v>35376</v>
      </c>
      <c r="E102" s="7">
        <v>2</v>
      </c>
    </row>
    <row r="103" spans="1:5" ht="15" thickBot="1">
      <c r="A103" s="8">
        <v>10349</v>
      </c>
      <c r="B103" s="2">
        <v>75</v>
      </c>
      <c r="C103" s="2">
        <v>7</v>
      </c>
      <c r="D103" s="14">
        <v>35377</v>
      </c>
      <c r="E103" s="9">
        <v>1</v>
      </c>
    </row>
    <row r="104" spans="1:5" ht="15" thickBot="1">
      <c r="A104" s="6">
        <v>10350</v>
      </c>
      <c r="B104" s="1">
        <v>41</v>
      </c>
      <c r="C104" s="1">
        <v>6</v>
      </c>
      <c r="D104" s="13">
        <v>35380</v>
      </c>
      <c r="E104" s="7">
        <v>2</v>
      </c>
    </row>
    <row r="105" spans="1:5" ht="15" thickBot="1">
      <c r="A105" s="8">
        <v>10351</v>
      </c>
      <c r="B105" s="2">
        <v>20</v>
      </c>
      <c r="C105" s="2">
        <v>1</v>
      </c>
      <c r="D105" s="14">
        <v>35380</v>
      </c>
      <c r="E105" s="9">
        <v>1</v>
      </c>
    </row>
    <row r="106" spans="1:5" ht="15" thickBot="1">
      <c r="A106" s="6">
        <v>10352</v>
      </c>
      <c r="B106" s="1">
        <v>28</v>
      </c>
      <c r="C106" s="1">
        <v>3</v>
      </c>
      <c r="D106" s="13">
        <v>35381</v>
      </c>
      <c r="E106" s="7">
        <v>3</v>
      </c>
    </row>
    <row r="107" spans="1:5" ht="15" thickBot="1">
      <c r="A107" s="8">
        <v>10353</v>
      </c>
      <c r="B107" s="2">
        <v>59</v>
      </c>
      <c r="C107" s="2">
        <v>7</v>
      </c>
      <c r="D107" s="14">
        <v>35382</v>
      </c>
      <c r="E107" s="9">
        <v>3</v>
      </c>
    </row>
    <row r="108" spans="1:5" ht="15" thickBot="1">
      <c r="A108" s="6">
        <v>10354</v>
      </c>
      <c r="B108" s="1">
        <v>58</v>
      </c>
      <c r="C108" s="1">
        <v>8</v>
      </c>
      <c r="D108" s="13">
        <v>35383</v>
      </c>
      <c r="E108" s="7">
        <v>3</v>
      </c>
    </row>
    <row r="109" spans="1:5" ht="15" thickBot="1">
      <c r="A109" s="8">
        <v>10355</v>
      </c>
      <c r="B109" s="2">
        <v>4</v>
      </c>
      <c r="C109" s="2">
        <v>6</v>
      </c>
      <c r="D109" s="14">
        <v>35384</v>
      </c>
      <c r="E109" s="9">
        <v>1</v>
      </c>
    </row>
    <row r="110" spans="1:5" ht="15" thickBot="1">
      <c r="A110" s="6">
        <v>10356</v>
      </c>
      <c r="B110" s="1">
        <v>86</v>
      </c>
      <c r="C110" s="1">
        <v>6</v>
      </c>
      <c r="D110" s="13">
        <v>35387</v>
      </c>
      <c r="E110" s="7">
        <v>2</v>
      </c>
    </row>
    <row r="111" spans="1:5" ht="15" thickBot="1">
      <c r="A111" s="8">
        <v>10357</v>
      </c>
      <c r="B111" s="2">
        <v>46</v>
      </c>
      <c r="C111" s="2">
        <v>1</v>
      </c>
      <c r="D111" s="14">
        <v>35388</v>
      </c>
      <c r="E111" s="9">
        <v>3</v>
      </c>
    </row>
    <row r="112" spans="1:5" ht="15" thickBot="1">
      <c r="A112" s="6">
        <v>10358</v>
      </c>
      <c r="B112" s="1">
        <v>41</v>
      </c>
      <c r="C112" s="1">
        <v>5</v>
      </c>
      <c r="D112" s="13">
        <v>35389</v>
      </c>
      <c r="E112" s="7">
        <v>1</v>
      </c>
    </row>
    <row r="113" spans="1:5" ht="15" thickBot="1">
      <c r="A113" s="8">
        <v>10359</v>
      </c>
      <c r="B113" s="2">
        <v>72</v>
      </c>
      <c r="C113" s="2">
        <v>5</v>
      </c>
      <c r="D113" s="14">
        <v>35390</v>
      </c>
      <c r="E113" s="9">
        <v>3</v>
      </c>
    </row>
    <row r="114" spans="1:5" ht="15" thickBot="1">
      <c r="A114" s="6">
        <v>10360</v>
      </c>
      <c r="B114" s="1">
        <v>7</v>
      </c>
      <c r="C114" s="1">
        <v>4</v>
      </c>
      <c r="D114" s="13">
        <v>35391</v>
      </c>
      <c r="E114" s="7">
        <v>3</v>
      </c>
    </row>
    <row r="115" spans="1:5" ht="15" thickBot="1">
      <c r="A115" s="8">
        <v>10361</v>
      </c>
      <c r="B115" s="2">
        <v>63</v>
      </c>
      <c r="C115" s="2">
        <v>1</v>
      </c>
      <c r="D115" s="14">
        <v>35391</v>
      </c>
      <c r="E115" s="9">
        <v>2</v>
      </c>
    </row>
    <row r="116" spans="1:5" ht="15" thickBot="1">
      <c r="A116" s="6">
        <v>10362</v>
      </c>
      <c r="B116" s="1">
        <v>9</v>
      </c>
      <c r="C116" s="1">
        <v>3</v>
      </c>
      <c r="D116" s="13">
        <v>35394</v>
      </c>
      <c r="E116" s="7">
        <v>1</v>
      </c>
    </row>
    <row r="117" spans="1:5" ht="15" thickBot="1">
      <c r="A117" s="8">
        <v>10363</v>
      </c>
      <c r="B117" s="2">
        <v>17</v>
      </c>
      <c r="C117" s="2">
        <v>4</v>
      </c>
      <c r="D117" s="14">
        <v>35395</v>
      </c>
      <c r="E117" s="9">
        <v>3</v>
      </c>
    </row>
    <row r="118" spans="1:5" ht="15" thickBot="1">
      <c r="A118" s="6">
        <v>10364</v>
      </c>
      <c r="B118" s="1">
        <v>19</v>
      </c>
      <c r="C118" s="1">
        <v>1</v>
      </c>
      <c r="D118" s="13">
        <v>35395</v>
      </c>
      <c r="E118" s="7">
        <v>1</v>
      </c>
    </row>
    <row r="119" spans="1:5" ht="15" thickBot="1">
      <c r="A119" s="8">
        <v>10365</v>
      </c>
      <c r="B119" s="2">
        <v>3</v>
      </c>
      <c r="C119" s="2">
        <v>3</v>
      </c>
      <c r="D119" s="14">
        <v>35396</v>
      </c>
      <c r="E119" s="9">
        <v>2</v>
      </c>
    </row>
    <row r="120" spans="1:5" ht="15" thickBot="1">
      <c r="A120" s="6">
        <v>10366</v>
      </c>
      <c r="B120" s="1">
        <v>29</v>
      </c>
      <c r="C120" s="1">
        <v>8</v>
      </c>
      <c r="D120" s="13">
        <v>35397</v>
      </c>
      <c r="E120" s="7">
        <v>2</v>
      </c>
    </row>
    <row r="121" spans="1:5" ht="15" thickBot="1">
      <c r="A121" s="8">
        <v>10367</v>
      </c>
      <c r="B121" s="2">
        <v>83</v>
      </c>
      <c r="C121" s="2">
        <v>7</v>
      </c>
      <c r="D121" s="14">
        <v>35397</v>
      </c>
      <c r="E121" s="9">
        <v>3</v>
      </c>
    </row>
    <row r="122" spans="1:5" ht="15" thickBot="1">
      <c r="A122" s="6">
        <v>10368</v>
      </c>
      <c r="B122" s="1">
        <v>20</v>
      </c>
      <c r="C122" s="1">
        <v>2</v>
      </c>
      <c r="D122" s="13">
        <v>35398</v>
      </c>
      <c r="E122" s="7">
        <v>2</v>
      </c>
    </row>
    <row r="123" spans="1:5" ht="15" thickBot="1">
      <c r="A123" s="8">
        <v>10369</v>
      </c>
      <c r="B123" s="2">
        <v>75</v>
      </c>
      <c r="C123" s="2">
        <v>8</v>
      </c>
      <c r="D123" s="14">
        <v>35401</v>
      </c>
      <c r="E123" s="9">
        <v>2</v>
      </c>
    </row>
    <row r="124" spans="1:5" ht="15" thickBot="1">
      <c r="A124" s="6">
        <v>10370</v>
      </c>
      <c r="B124" s="1">
        <v>14</v>
      </c>
      <c r="C124" s="1">
        <v>6</v>
      </c>
      <c r="D124" s="13">
        <v>35402</v>
      </c>
      <c r="E124" s="7">
        <v>2</v>
      </c>
    </row>
    <row r="125" spans="1:5" ht="15" thickBot="1">
      <c r="A125" s="8">
        <v>10371</v>
      </c>
      <c r="B125" s="2">
        <v>41</v>
      </c>
      <c r="C125" s="2">
        <v>1</v>
      </c>
      <c r="D125" s="14">
        <v>35402</v>
      </c>
      <c r="E125" s="9">
        <v>1</v>
      </c>
    </row>
    <row r="126" spans="1:5" ht="15" thickBot="1">
      <c r="A126" s="6">
        <v>10372</v>
      </c>
      <c r="B126" s="1">
        <v>62</v>
      </c>
      <c r="C126" s="1">
        <v>5</v>
      </c>
      <c r="D126" s="13">
        <v>35403</v>
      </c>
      <c r="E126" s="7">
        <v>2</v>
      </c>
    </row>
    <row r="127" spans="1:5" ht="15" thickBot="1">
      <c r="A127" s="8">
        <v>10373</v>
      </c>
      <c r="B127" s="2">
        <v>37</v>
      </c>
      <c r="C127" s="2">
        <v>4</v>
      </c>
      <c r="D127" s="14">
        <v>35404</v>
      </c>
      <c r="E127" s="9">
        <v>3</v>
      </c>
    </row>
    <row r="128" spans="1:5" ht="15" thickBot="1">
      <c r="A128" s="6">
        <v>10374</v>
      </c>
      <c r="B128" s="1">
        <v>91</v>
      </c>
      <c r="C128" s="1">
        <v>1</v>
      </c>
      <c r="D128" s="13">
        <v>35404</v>
      </c>
      <c r="E128" s="7">
        <v>3</v>
      </c>
    </row>
    <row r="129" spans="1:5" ht="15" thickBot="1">
      <c r="A129" s="8">
        <v>10375</v>
      </c>
      <c r="B129" s="2">
        <v>36</v>
      </c>
      <c r="C129" s="2">
        <v>3</v>
      </c>
      <c r="D129" s="14">
        <v>35405</v>
      </c>
      <c r="E129" s="9">
        <v>2</v>
      </c>
    </row>
    <row r="130" spans="1:5" ht="15" thickBot="1">
      <c r="A130" s="6">
        <v>10376</v>
      </c>
      <c r="B130" s="1">
        <v>51</v>
      </c>
      <c r="C130" s="1">
        <v>1</v>
      </c>
      <c r="D130" s="13">
        <v>35408</v>
      </c>
      <c r="E130" s="7">
        <v>2</v>
      </c>
    </row>
    <row r="131" spans="1:5" ht="15" thickBot="1">
      <c r="A131" s="8">
        <v>10377</v>
      </c>
      <c r="B131" s="2">
        <v>72</v>
      </c>
      <c r="C131" s="2">
        <v>1</v>
      </c>
      <c r="D131" s="14">
        <v>35408</v>
      </c>
      <c r="E131" s="9">
        <v>3</v>
      </c>
    </row>
    <row r="132" spans="1:5" ht="15" thickBot="1">
      <c r="A132" s="6">
        <v>10378</v>
      </c>
      <c r="B132" s="1">
        <v>24</v>
      </c>
      <c r="C132" s="1">
        <v>5</v>
      </c>
      <c r="D132" s="13">
        <v>35409</v>
      </c>
      <c r="E132" s="7">
        <v>3</v>
      </c>
    </row>
    <row r="133" spans="1:5" ht="15" thickBot="1">
      <c r="A133" s="8">
        <v>10379</v>
      </c>
      <c r="B133" s="2">
        <v>61</v>
      </c>
      <c r="C133" s="2">
        <v>2</v>
      </c>
      <c r="D133" s="14">
        <v>35410</v>
      </c>
      <c r="E133" s="9">
        <v>1</v>
      </c>
    </row>
    <row r="134" spans="1:5" ht="15" thickBot="1">
      <c r="A134" s="6">
        <v>10380</v>
      </c>
      <c r="B134" s="1">
        <v>37</v>
      </c>
      <c r="C134" s="1">
        <v>8</v>
      </c>
      <c r="D134" s="13">
        <v>35411</v>
      </c>
      <c r="E134" s="7">
        <v>3</v>
      </c>
    </row>
    <row r="135" spans="1:5" ht="15" thickBot="1">
      <c r="A135" s="8">
        <v>10381</v>
      </c>
      <c r="B135" s="2">
        <v>46</v>
      </c>
      <c r="C135" s="2">
        <v>3</v>
      </c>
      <c r="D135" s="14">
        <v>35411</v>
      </c>
      <c r="E135" s="9">
        <v>3</v>
      </c>
    </row>
    <row r="136" spans="1:5" ht="15" thickBot="1">
      <c r="A136" s="6">
        <v>10382</v>
      </c>
      <c r="B136" s="1">
        <v>20</v>
      </c>
      <c r="C136" s="1">
        <v>4</v>
      </c>
      <c r="D136" s="13">
        <v>35412</v>
      </c>
      <c r="E136" s="7">
        <v>1</v>
      </c>
    </row>
    <row r="137" spans="1:5" ht="15" thickBot="1">
      <c r="A137" s="8">
        <v>10383</v>
      </c>
      <c r="B137" s="2">
        <v>4</v>
      </c>
      <c r="C137" s="2">
        <v>8</v>
      </c>
      <c r="D137" s="14">
        <v>35415</v>
      </c>
      <c r="E137" s="9">
        <v>3</v>
      </c>
    </row>
    <row r="138" spans="1:5" ht="15" thickBot="1">
      <c r="A138" s="6">
        <v>10384</v>
      </c>
      <c r="B138" s="1">
        <v>5</v>
      </c>
      <c r="C138" s="1">
        <v>3</v>
      </c>
      <c r="D138" s="13">
        <v>35415</v>
      </c>
      <c r="E138" s="7">
        <v>3</v>
      </c>
    </row>
    <row r="139" spans="1:5" ht="15" thickBot="1">
      <c r="A139" s="8">
        <v>10385</v>
      </c>
      <c r="B139" s="2">
        <v>75</v>
      </c>
      <c r="C139" s="2">
        <v>1</v>
      </c>
      <c r="D139" s="14">
        <v>35416</v>
      </c>
      <c r="E139" s="9">
        <v>2</v>
      </c>
    </row>
    <row r="140" spans="1:5" ht="15" thickBot="1">
      <c r="A140" s="6">
        <v>10386</v>
      </c>
      <c r="B140" s="1">
        <v>21</v>
      </c>
      <c r="C140" s="1">
        <v>9</v>
      </c>
      <c r="D140" s="13">
        <v>35417</v>
      </c>
      <c r="E140" s="7">
        <v>3</v>
      </c>
    </row>
    <row r="141" spans="1:5" ht="15" thickBot="1">
      <c r="A141" s="8">
        <v>10387</v>
      </c>
      <c r="B141" s="2">
        <v>70</v>
      </c>
      <c r="C141" s="2">
        <v>1</v>
      </c>
      <c r="D141" s="14">
        <v>35417</v>
      </c>
      <c r="E141" s="9">
        <v>2</v>
      </c>
    </row>
    <row r="142" spans="1:5" ht="15" thickBot="1">
      <c r="A142" s="6">
        <v>10388</v>
      </c>
      <c r="B142" s="1">
        <v>72</v>
      </c>
      <c r="C142" s="1">
        <v>2</v>
      </c>
      <c r="D142" s="13">
        <v>35418</v>
      </c>
      <c r="E142" s="7">
        <v>1</v>
      </c>
    </row>
    <row r="143" spans="1:5" ht="15" thickBot="1">
      <c r="A143" s="8">
        <v>10389</v>
      </c>
      <c r="B143" s="2">
        <v>10</v>
      </c>
      <c r="C143" s="2">
        <v>4</v>
      </c>
      <c r="D143" s="14">
        <v>35419</v>
      </c>
      <c r="E143" s="9">
        <v>2</v>
      </c>
    </row>
    <row r="144" spans="1:5" ht="15" thickBot="1">
      <c r="A144" s="6">
        <v>10390</v>
      </c>
      <c r="B144" s="1">
        <v>20</v>
      </c>
      <c r="C144" s="1">
        <v>6</v>
      </c>
      <c r="D144" s="13">
        <v>35422</v>
      </c>
      <c r="E144" s="7">
        <v>1</v>
      </c>
    </row>
    <row r="145" spans="1:5" ht="15" thickBot="1">
      <c r="A145" s="8">
        <v>10391</v>
      </c>
      <c r="B145" s="2">
        <v>17</v>
      </c>
      <c r="C145" s="2">
        <v>3</v>
      </c>
      <c r="D145" s="14">
        <v>35422</v>
      </c>
      <c r="E145" s="9">
        <v>3</v>
      </c>
    </row>
    <row r="146" spans="1:5" ht="15" thickBot="1">
      <c r="A146" s="6">
        <v>10392</v>
      </c>
      <c r="B146" s="1">
        <v>59</v>
      </c>
      <c r="C146" s="1">
        <v>2</v>
      </c>
      <c r="D146" s="13">
        <v>35423</v>
      </c>
      <c r="E146" s="7">
        <v>3</v>
      </c>
    </row>
    <row r="147" spans="1:5" ht="15" thickBot="1">
      <c r="A147" s="8">
        <v>10393</v>
      </c>
      <c r="B147" s="2">
        <v>71</v>
      </c>
      <c r="C147" s="2">
        <v>1</v>
      </c>
      <c r="D147" s="14">
        <v>35424</v>
      </c>
      <c r="E147" s="9">
        <v>3</v>
      </c>
    </row>
    <row r="148" spans="1:5" ht="15" thickBot="1">
      <c r="A148" s="6">
        <v>10394</v>
      </c>
      <c r="B148" s="1">
        <v>36</v>
      </c>
      <c r="C148" s="1">
        <v>1</v>
      </c>
      <c r="D148" s="13">
        <v>35424</v>
      </c>
      <c r="E148" s="7">
        <v>3</v>
      </c>
    </row>
    <row r="149" spans="1:5" ht="15" thickBot="1">
      <c r="A149" s="8">
        <v>10395</v>
      </c>
      <c r="B149" s="2">
        <v>35</v>
      </c>
      <c r="C149" s="2">
        <v>6</v>
      </c>
      <c r="D149" s="14">
        <v>35425</v>
      </c>
      <c r="E149" s="9">
        <v>1</v>
      </c>
    </row>
    <row r="150" spans="1:5" ht="15" thickBot="1">
      <c r="A150" s="6">
        <v>10396</v>
      </c>
      <c r="B150" s="1">
        <v>25</v>
      </c>
      <c r="C150" s="1">
        <v>1</v>
      </c>
      <c r="D150" s="13">
        <v>35426</v>
      </c>
      <c r="E150" s="7">
        <v>3</v>
      </c>
    </row>
    <row r="151" spans="1:5" ht="15" thickBot="1">
      <c r="A151" s="8">
        <v>10397</v>
      </c>
      <c r="B151" s="2">
        <v>60</v>
      </c>
      <c r="C151" s="2">
        <v>5</v>
      </c>
      <c r="D151" s="14">
        <v>35426</v>
      </c>
      <c r="E151" s="9">
        <v>1</v>
      </c>
    </row>
    <row r="152" spans="1:5" ht="15" thickBot="1">
      <c r="A152" s="6">
        <v>10398</v>
      </c>
      <c r="B152" s="1">
        <v>71</v>
      </c>
      <c r="C152" s="1">
        <v>2</v>
      </c>
      <c r="D152" s="13">
        <v>35429</v>
      </c>
      <c r="E152" s="7">
        <v>3</v>
      </c>
    </row>
    <row r="153" spans="1:5" ht="15" thickBot="1">
      <c r="A153" s="8">
        <v>10399</v>
      </c>
      <c r="B153" s="2">
        <v>83</v>
      </c>
      <c r="C153" s="2">
        <v>8</v>
      </c>
      <c r="D153" s="14">
        <v>35430</v>
      </c>
      <c r="E153" s="9">
        <v>3</v>
      </c>
    </row>
    <row r="154" spans="1:5" ht="15" thickBot="1">
      <c r="A154" s="6">
        <v>10400</v>
      </c>
      <c r="B154" s="1">
        <v>19</v>
      </c>
      <c r="C154" s="1">
        <v>1</v>
      </c>
      <c r="D154" s="13">
        <v>35431</v>
      </c>
      <c r="E154" s="7">
        <v>3</v>
      </c>
    </row>
    <row r="155" spans="1:5" ht="15" thickBot="1">
      <c r="A155" s="8">
        <v>10401</v>
      </c>
      <c r="B155" s="2">
        <v>65</v>
      </c>
      <c r="C155" s="2">
        <v>1</v>
      </c>
      <c r="D155" s="14">
        <v>35431</v>
      </c>
      <c r="E155" s="9">
        <v>1</v>
      </c>
    </row>
    <row r="156" spans="1:5" ht="15" thickBot="1">
      <c r="A156" s="6">
        <v>10402</v>
      </c>
      <c r="B156" s="1">
        <v>20</v>
      </c>
      <c r="C156" s="1">
        <v>8</v>
      </c>
      <c r="D156" s="13">
        <v>35432</v>
      </c>
      <c r="E156" s="7">
        <v>2</v>
      </c>
    </row>
    <row r="157" spans="1:5" ht="15" thickBot="1">
      <c r="A157" s="8">
        <v>10403</v>
      </c>
      <c r="B157" s="2">
        <v>20</v>
      </c>
      <c r="C157" s="2">
        <v>4</v>
      </c>
      <c r="D157" s="14">
        <v>35433</v>
      </c>
      <c r="E157" s="9">
        <v>3</v>
      </c>
    </row>
    <row r="158" spans="1:5" ht="15" thickBot="1">
      <c r="A158" s="6">
        <v>10404</v>
      </c>
      <c r="B158" s="1">
        <v>49</v>
      </c>
      <c r="C158" s="1">
        <v>2</v>
      </c>
      <c r="D158" s="13">
        <v>35433</v>
      </c>
      <c r="E158" s="7">
        <v>1</v>
      </c>
    </row>
    <row r="159" spans="1:5" ht="15" thickBot="1">
      <c r="A159" s="8">
        <v>10405</v>
      </c>
      <c r="B159" s="2">
        <v>47</v>
      </c>
      <c r="C159" s="2">
        <v>1</v>
      </c>
      <c r="D159" s="14">
        <v>35436</v>
      </c>
      <c r="E159" s="9">
        <v>1</v>
      </c>
    </row>
    <row r="160" spans="1:5" ht="15" thickBot="1">
      <c r="A160" s="6">
        <v>10406</v>
      </c>
      <c r="B160" s="1">
        <v>62</v>
      </c>
      <c r="C160" s="1">
        <v>7</v>
      </c>
      <c r="D160" s="13">
        <v>35437</v>
      </c>
      <c r="E160" s="7">
        <v>1</v>
      </c>
    </row>
    <row r="161" spans="1:5" ht="15" thickBot="1">
      <c r="A161" s="8">
        <v>10407</v>
      </c>
      <c r="B161" s="2">
        <v>56</v>
      </c>
      <c r="C161" s="2">
        <v>2</v>
      </c>
      <c r="D161" s="14">
        <v>35437</v>
      </c>
      <c r="E161" s="9">
        <v>2</v>
      </c>
    </row>
    <row r="162" spans="1:5" ht="15" thickBot="1">
      <c r="A162" s="6">
        <v>10408</v>
      </c>
      <c r="B162" s="1">
        <v>23</v>
      </c>
      <c r="C162" s="1">
        <v>8</v>
      </c>
      <c r="D162" s="13">
        <v>35438</v>
      </c>
      <c r="E162" s="7">
        <v>1</v>
      </c>
    </row>
    <row r="163" spans="1:5" ht="15" thickBot="1">
      <c r="A163" s="8">
        <v>10409</v>
      </c>
      <c r="B163" s="2">
        <v>54</v>
      </c>
      <c r="C163" s="2">
        <v>3</v>
      </c>
      <c r="D163" s="14">
        <v>35439</v>
      </c>
      <c r="E163" s="9">
        <v>1</v>
      </c>
    </row>
    <row r="164" spans="1:5" ht="15" thickBot="1">
      <c r="A164" s="6">
        <v>10410</v>
      </c>
      <c r="B164" s="1">
        <v>10</v>
      </c>
      <c r="C164" s="1">
        <v>3</v>
      </c>
      <c r="D164" s="13">
        <v>35440</v>
      </c>
      <c r="E164" s="7">
        <v>3</v>
      </c>
    </row>
    <row r="165" spans="1:5" ht="15" thickBot="1">
      <c r="A165" s="8">
        <v>10411</v>
      </c>
      <c r="B165" s="2">
        <v>10</v>
      </c>
      <c r="C165" s="2">
        <v>9</v>
      </c>
      <c r="D165" s="14">
        <v>35440</v>
      </c>
      <c r="E165" s="9">
        <v>3</v>
      </c>
    </row>
    <row r="166" spans="1:5" ht="15" thickBot="1">
      <c r="A166" s="6">
        <v>10412</v>
      </c>
      <c r="B166" s="1">
        <v>87</v>
      </c>
      <c r="C166" s="1">
        <v>8</v>
      </c>
      <c r="D166" s="13">
        <v>35443</v>
      </c>
      <c r="E166" s="7">
        <v>2</v>
      </c>
    </row>
    <row r="167" spans="1:5" ht="15" thickBot="1">
      <c r="A167" s="8">
        <v>10413</v>
      </c>
      <c r="B167" s="2">
        <v>41</v>
      </c>
      <c r="C167" s="2">
        <v>3</v>
      </c>
      <c r="D167" s="14">
        <v>35444</v>
      </c>
      <c r="E167" s="9">
        <v>2</v>
      </c>
    </row>
    <row r="168" spans="1:5" ht="15" thickBot="1">
      <c r="A168" s="6">
        <v>10414</v>
      </c>
      <c r="B168" s="1">
        <v>21</v>
      </c>
      <c r="C168" s="1">
        <v>2</v>
      </c>
      <c r="D168" s="13">
        <v>35444</v>
      </c>
      <c r="E168" s="7">
        <v>3</v>
      </c>
    </row>
    <row r="169" spans="1:5" ht="15" thickBot="1">
      <c r="A169" s="8">
        <v>10415</v>
      </c>
      <c r="B169" s="2">
        <v>36</v>
      </c>
      <c r="C169" s="2">
        <v>3</v>
      </c>
      <c r="D169" s="14">
        <v>35445</v>
      </c>
      <c r="E169" s="9">
        <v>1</v>
      </c>
    </row>
    <row r="170" spans="1:5" ht="15" thickBot="1">
      <c r="A170" s="6">
        <v>10416</v>
      </c>
      <c r="B170" s="1">
        <v>87</v>
      </c>
      <c r="C170" s="1">
        <v>8</v>
      </c>
      <c r="D170" s="13">
        <v>35446</v>
      </c>
      <c r="E170" s="7">
        <v>3</v>
      </c>
    </row>
    <row r="171" spans="1:5" ht="15" thickBot="1">
      <c r="A171" s="8">
        <v>10417</v>
      </c>
      <c r="B171" s="2">
        <v>73</v>
      </c>
      <c r="C171" s="2">
        <v>4</v>
      </c>
      <c r="D171" s="14">
        <v>35446</v>
      </c>
      <c r="E171" s="9">
        <v>3</v>
      </c>
    </row>
    <row r="172" spans="1:5" ht="15" thickBot="1">
      <c r="A172" s="6">
        <v>10418</v>
      </c>
      <c r="B172" s="1">
        <v>63</v>
      </c>
      <c r="C172" s="1">
        <v>4</v>
      </c>
      <c r="D172" s="13">
        <v>35447</v>
      </c>
      <c r="E172" s="7">
        <v>1</v>
      </c>
    </row>
    <row r="173" spans="1:5" ht="15" thickBot="1">
      <c r="A173" s="8">
        <v>10419</v>
      </c>
      <c r="B173" s="2">
        <v>68</v>
      </c>
      <c r="C173" s="2">
        <v>4</v>
      </c>
      <c r="D173" s="14">
        <v>35450</v>
      </c>
      <c r="E173" s="9">
        <v>2</v>
      </c>
    </row>
    <row r="174" spans="1:5" ht="15" thickBot="1">
      <c r="A174" s="6">
        <v>10420</v>
      </c>
      <c r="B174" s="1">
        <v>88</v>
      </c>
      <c r="C174" s="1">
        <v>3</v>
      </c>
      <c r="D174" s="13">
        <v>35451</v>
      </c>
      <c r="E174" s="7">
        <v>1</v>
      </c>
    </row>
    <row r="175" spans="1:5" ht="15" thickBot="1">
      <c r="A175" s="8">
        <v>10421</v>
      </c>
      <c r="B175" s="2">
        <v>61</v>
      </c>
      <c r="C175" s="2">
        <v>8</v>
      </c>
      <c r="D175" s="14">
        <v>35451</v>
      </c>
      <c r="E175" s="9">
        <v>1</v>
      </c>
    </row>
    <row r="176" spans="1:5" ht="15" thickBot="1">
      <c r="A176" s="6">
        <v>10422</v>
      </c>
      <c r="B176" s="1">
        <v>27</v>
      </c>
      <c r="C176" s="1">
        <v>2</v>
      </c>
      <c r="D176" s="13">
        <v>35452</v>
      </c>
      <c r="E176" s="7">
        <v>1</v>
      </c>
    </row>
    <row r="177" spans="1:5" ht="15" thickBot="1">
      <c r="A177" s="8">
        <v>10423</v>
      </c>
      <c r="B177" s="2">
        <v>31</v>
      </c>
      <c r="C177" s="2">
        <v>6</v>
      </c>
      <c r="D177" s="14">
        <v>35453</v>
      </c>
      <c r="E177" s="9">
        <v>3</v>
      </c>
    </row>
    <row r="178" spans="1:5" ht="15" thickBot="1">
      <c r="A178" s="6">
        <v>10424</v>
      </c>
      <c r="B178" s="1">
        <v>51</v>
      </c>
      <c r="C178" s="1">
        <v>7</v>
      </c>
      <c r="D178" s="13">
        <v>35453</v>
      </c>
      <c r="E178" s="7">
        <v>2</v>
      </c>
    </row>
    <row r="179" spans="1:5" ht="15" thickBot="1">
      <c r="A179" s="8">
        <v>10425</v>
      </c>
      <c r="B179" s="2">
        <v>41</v>
      </c>
      <c r="C179" s="2">
        <v>6</v>
      </c>
      <c r="D179" s="14">
        <v>35454</v>
      </c>
      <c r="E179" s="9">
        <v>2</v>
      </c>
    </row>
    <row r="180" spans="1:5" ht="15" thickBot="1">
      <c r="A180" s="6">
        <v>10426</v>
      </c>
      <c r="B180" s="1">
        <v>29</v>
      </c>
      <c r="C180" s="1">
        <v>4</v>
      </c>
      <c r="D180" s="13">
        <v>35457</v>
      </c>
      <c r="E180" s="7">
        <v>1</v>
      </c>
    </row>
    <row r="181" spans="1:5" ht="15" thickBot="1">
      <c r="A181" s="8">
        <v>10427</v>
      </c>
      <c r="B181" s="2">
        <v>59</v>
      </c>
      <c r="C181" s="2">
        <v>4</v>
      </c>
      <c r="D181" s="14">
        <v>35457</v>
      </c>
      <c r="E181" s="9">
        <v>2</v>
      </c>
    </row>
    <row r="182" spans="1:5" ht="15" thickBot="1">
      <c r="A182" s="6">
        <v>10428</v>
      </c>
      <c r="B182" s="1">
        <v>66</v>
      </c>
      <c r="C182" s="1">
        <v>7</v>
      </c>
      <c r="D182" s="13">
        <v>35458</v>
      </c>
      <c r="E182" s="7">
        <v>1</v>
      </c>
    </row>
    <row r="183" spans="1:5" ht="15" thickBot="1">
      <c r="A183" s="8">
        <v>10429</v>
      </c>
      <c r="B183" s="2">
        <v>37</v>
      </c>
      <c r="C183" s="2">
        <v>3</v>
      </c>
      <c r="D183" s="14">
        <v>35459</v>
      </c>
      <c r="E183" s="9">
        <v>2</v>
      </c>
    </row>
    <row r="184" spans="1:5" ht="15" thickBot="1">
      <c r="A184" s="6">
        <v>10430</v>
      </c>
      <c r="B184" s="1">
        <v>20</v>
      </c>
      <c r="C184" s="1">
        <v>4</v>
      </c>
      <c r="D184" s="13">
        <v>35460</v>
      </c>
      <c r="E184" s="7">
        <v>1</v>
      </c>
    </row>
    <row r="185" spans="1:5" ht="15" thickBot="1">
      <c r="A185" s="8">
        <v>10431</v>
      </c>
      <c r="B185" s="2">
        <v>10</v>
      </c>
      <c r="C185" s="2">
        <v>4</v>
      </c>
      <c r="D185" s="14">
        <v>35460</v>
      </c>
      <c r="E185" s="9">
        <v>2</v>
      </c>
    </row>
    <row r="186" spans="1:5" ht="15" thickBot="1">
      <c r="A186" s="6">
        <v>10432</v>
      </c>
      <c r="B186" s="1">
        <v>75</v>
      </c>
      <c r="C186" s="1">
        <v>3</v>
      </c>
      <c r="D186" s="13">
        <v>35461</v>
      </c>
      <c r="E186" s="7">
        <v>2</v>
      </c>
    </row>
    <row r="187" spans="1:5" ht="15" thickBot="1">
      <c r="A187" s="8">
        <v>10433</v>
      </c>
      <c r="B187" s="2">
        <v>60</v>
      </c>
      <c r="C187" s="2">
        <v>3</v>
      </c>
      <c r="D187" s="14">
        <v>35464</v>
      </c>
      <c r="E187" s="9">
        <v>3</v>
      </c>
    </row>
    <row r="188" spans="1:5" ht="15" thickBot="1">
      <c r="A188" s="6">
        <v>10434</v>
      </c>
      <c r="B188" s="1">
        <v>24</v>
      </c>
      <c r="C188" s="1">
        <v>3</v>
      </c>
      <c r="D188" s="13">
        <v>35464</v>
      </c>
      <c r="E188" s="7">
        <v>2</v>
      </c>
    </row>
    <row r="189" spans="1:5" ht="15" thickBot="1">
      <c r="A189" s="8">
        <v>10435</v>
      </c>
      <c r="B189" s="2">
        <v>16</v>
      </c>
      <c r="C189" s="2">
        <v>8</v>
      </c>
      <c r="D189" s="14">
        <v>35465</v>
      </c>
      <c r="E189" s="9">
        <v>2</v>
      </c>
    </row>
    <row r="190" spans="1:5" ht="15" thickBot="1">
      <c r="A190" s="6">
        <v>10436</v>
      </c>
      <c r="B190" s="1">
        <v>7</v>
      </c>
      <c r="C190" s="1">
        <v>3</v>
      </c>
      <c r="D190" s="13">
        <v>35466</v>
      </c>
      <c r="E190" s="7">
        <v>2</v>
      </c>
    </row>
    <row r="191" spans="1:5" ht="15" thickBot="1">
      <c r="A191" s="8">
        <v>10437</v>
      </c>
      <c r="B191" s="2">
        <v>87</v>
      </c>
      <c r="C191" s="2">
        <v>8</v>
      </c>
      <c r="D191" s="14">
        <v>35466</v>
      </c>
      <c r="E191" s="9">
        <v>1</v>
      </c>
    </row>
    <row r="192" spans="1:5" ht="15" thickBot="1">
      <c r="A192" s="6">
        <v>10438</v>
      </c>
      <c r="B192" s="1">
        <v>79</v>
      </c>
      <c r="C192" s="1">
        <v>3</v>
      </c>
      <c r="D192" s="13">
        <v>35467</v>
      </c>
      <c r="E192" s="7">
        <v>2</v>
      </c>
    </row>
    <row r="193" spans="1:5" ht="15" thickBot="1">
      <c r="A193" s="8">
        <v>10439</v>
      </c>
      <c r="B193" s="2">
        <v>51</v>
      </c>
      <c r="C193" s="2">
        <v>6</v>
      </c>
      <c r="D193" s="14">
        <v>35468</v>
      </c>
      <c r="E193" s="9">
        <v>3</v>
      </c>
    </row>
    <row r="194" spans="1:5" ht="15" thickBot="1">
      <c r="A194" s="6">
        <v>10440</v>
      </c>
      <c r="B194" s="1">
        <v>71</v>
      </c>
      <c r="C194" s="1">
        <v>4</v>
      </c>
      <c r="D194" s="13">
        <v>35471</v>
      </c>
      <c r="E194" s="7">
        <v>2</v>
      </c>
    </row>
    <row r="195" spans="1:5" ht="15" thickBot="1">
      <c r="A195" s="8">
        <v>10441</v>
      </c>
      <c r="B195" s="2">
        <v>55</v>
      </c>
      <c r="C195" s="2">
        <v>3</v>
      </c>
      <c r="D195" s="14">
        <v>35471</v>
      </c>
      <c r="E195" s="9">
        <v>2</v>
      </c>
    </row>
    <row r="196" spans="1:5" ht="15" thickBot="1">
      <c r="A196" s="6">
        <v>10442</v>
      </c>
      <c r="B196" s="1">
        <v>20</v>
      </c>
      <c r="C196" s="1">
        <v>3</v>
      </c>
      <c r="D196" s="13">
        <v>35472</v>
      </c>
      <c r="E196" s="7">
        <v>2</v>
      </c>
    </row>
    <row r="197" spans="1:5" ht="15" thickBot="1">
      <c r="A197" s="15">
        <v>10443</v>
      </c>
      <c r="B197" s="16">
        <v>66</v>
      </c>
      <c r="C197" s="16">
        <v>8</v>
      </c>
      <c r="D197" s="17">
        <v>35473</v>
      </c>
      <c r="E197" s="18">
        <v>1</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6"/>
  <dimension ref="A1:I92"/>
  <sheetViews>
    <sheetView zoomScaleNormal="100" workbookViewId="0">
      <selection activeCell="J4" sqref="J4"/>
    </sheetView>
  </sheetViews>
  <sheetFormatPr baseColWidth="10" defaultRowHeight="14"/>
  <cols>
    <col min="9" max="9" width="10.83203125" customWidth="1"/>
  </cols>
  <sheetData>
    <row r="1" spans="1:9" ht="15" thickBot="1">
      <c r="A1" s="3" t="s">
        <v>0</v>
      </c>
      <c r="B1" s="4" t="s">
        <v>1</v>
      </c>
      <c r="C1" s="4" t="s">
        <v>2</v>
      </c>
      <c r="D1" s="4" t="s">
        <v>3</v>
      </c>
      <c r="E1" s="4" t="s">
        <v>4</v>
      </c>
      <c r="F1" s="4" t="s">
        <v>5</v>
      </c>
      <c r="G1" s="5" t="s">
        <v>6</v>
      </c>
    </row>
    <row r="2" spans="1:9" ht="15" thickBot="1">
      <c r="A2" s="6">
        <v>1</v>
      </c>
      <c r="B2" s="1" t="s">
        <v>7</v>
      </c>
      <c r="C2" s="1" t="s">
        <v>8</v>
      </c>
      <c r="D2" s="1" t="s">
        <v>9</v>
      </c>
      <c r="E2" s="1" t="s">
        <v>10</v>
      </c>
      <c r="F2" s="1">
        <v>12209</v>
      </c>
      <c r="G2" s="7" t="s">
        <v>11</v>
      </c>
    </row>
    <row r="3" spans="1:9" ht="40" customHeight="1" thickBot="1">
      <c r="A3" s="8">
        <v>2</v>
      </c>
      <c r="B3" s="2" t="s">
        <v>12</v>
      </c>
      <c r="C3" s="2" t="s">
        <v>13</v>
      </c>
      <c r="D3" s="2" t="s">
        <v>14</v>
      </c>
      <c r="E3" s="2" t="s">
        <v>15</v>
      </c>
      <c r="F3" s="2">
        <v>5021</v>
      </c>
      <c r="G3" s="9" t="s">
        <v>16</v>
      </c>
      <c r="I3" s="23"/>
    </row>
    <row r="4" spans="1:9" ht="168" customHeight="1" thickBot="1">
      <c r="A4" s="6">
        <v>3</v>
      </c>
      <c r="B4" s="1" t="s">
        <v>17</v>
      </c>
      <c r="C4" s="1" t="s">
        <v>18</v>
      </c>
      <c r="D4" s="1" t="s">
        <v>19</v>
      </c>
      <c r="E4" s="1" t="s">
        <v>15</v>
      </c>
      <c r="F4" s="1">
        <v>5023</v>
      </c>
      <c r="G4" s="7" t="s">
        <v>16</v>
      </c>
      <c r="I4" s="19"/>
    </row>
    <row r="5" spans="1:9" ht="15" thickBot="1">
      <c r="A5" s="8">
        <v>4</v>
      </c>
      <c r="B5" s="2" t="s">
        <v>20</v>
      </c>
      <c r="C5" s="2" t="s">
        <v>21</v>
      </c>
      <c r="D5" s="2" t="s">
        <v>22</v>
      </c>
      <c r="E5" s="2" t="s">
        <v>23</v>
      </c>
      <c r="F5" s="2" t="s">
        <v>24</v>
      </c>
      <c r="G5" s="9" t="s">
        <v>25</v>
      </c>
    </row>
    <row r="6" spans="1:9" ht="23" thickBot="1">
      <c r="A6" s="6">
        <v>5</v>
      </c>
      <c r="B6" s="1" t="s">
        <v>26</v>
      </c>
      <c r="C6" s="1" t="s">
        <v>27</v>
      </c>
      <c r="D6" s="1" t="s">
        <v>28</v>
      </c>
      <c r="E6" s="1" t="s">
        <v>29</v>
      </c>
      <c r="F6" s="1" t="s">
        <v>30</v>
      </c>
      <c r="G6" s="7" t="s">
        <v>31</v>
      </c>
    </row>
    <row r="7" spans="1:9" ht="23" thickBot="1">
      <c r="A7" s="8">
        <v>6</v>
      </c>
      <c r="B7" s="2" t="s">
        <v>32</v>
      </c>
      <c r="C7" s="2" t="s">
        <v>33</v>
      </c>
      <c r="D7" s="2" t="s">
        <v>34</v>
      </c>
      <c r="E7" s="2" t="s">
        <v>35</v>
      </c>
      <c r="F7" s="2">
        <v>68306</v>
      </c>
      <c r="G7" s="9" t="s">
        <v>11</v>
      </c>
    </row>
    <row r="8" spans="1:9" ht="15" thickBot="1">
      <c r="A8" s="6">
        <v>7</v>
      </c>
      <c r="B8" s="1" t="s">
        <v>36</v>
      </c>
      <c r="C8" s="1" t="s">
        <v>37</v>
      </c>
      <c r="D8" s="1" t="s">
        <v>38</v>
      </c>
      <c r="E8" s="1" t="s">
        <v>39</v>
      </c>
      <c r="F8" s="1">
        <v>67000</v>
      </c>
      <c r="G8" s="7" t="s">
        <v>40</v>
      </c>
    </row>
    <row r="9" spans="1:9" ht="23" thickBot="1">
      <c r="A9" s="8">
        <v>8</v>
      </c>
      <c r="B9" s="2" t="s">
        <v>41</v>
      </c>
      <c r="C9" s="2" t="s">
        <v>42</v>
      </c>
      <c r="D9" s="2" t="s">
        <v>43</v>
      </c>
      <c r="E9" s="2" t="s">
        <v>44</v>
      </c>
      <c r="F9" s="2">
        <v>28023</v>
      </c>
      <c r="G9" s="9" t="s">
        <v>45</v>
      </c>
    </row>
    <row r="10" spans="1:9" ht="23" thickBot="1">
      <c r="A10" s="6">
        <v>9</v>
      </c>
      <c r="B10" s="1" t="s">
        <v>46</v>
      </c>
      <c r="C10" s="1" t="s">
        <v>47</v>
      </c>
      <c r="D10" s="1" t="s">
        <v>48</v>
      </c>
      <c r="E10" s="1" t="s">
        <v>49</v>
      </c>
      <c r="F10" s="1">
        <v>13008</v>
      </c>
      <c r="G10" s="7" t="s">
        <v>40</v>
      </c>
    </row>
    <row r="11" spans="1:9" ht="23" thickBot="1">
      <c r="A11" s="8">
        <v>10</v>
      </c>
      <c r="B11" s="2" t="s">
        <v>50</v>
      </c>
      <c r="C11" s="2" t="s">
        <v>51</v>
      </c>
      <c r="D11" s="2" t="s">
        <v>52</v>
      </c>
      <c r="E11" s="2" t="s">
        <v>53</v>
      </c>
      <c r="F11" s="2" t="s">
        <v>54</v>
      </c>
      <c r="G11" s="9" t="s">
        <v>55</v>
      </c>
    </row>
    <row r="12" spans="1:9" ht="15" thickBot="1">
      <c r="A12" s="6">
        <v>11</v>
      </c>
      <c r="B12" s="1" t="s">
        <v>56</v>
      </c>
      <c r="C12" s="1" t="s">
        <v>57</v>
      </c>
      <c r="D12" s="1" t="s">
        <v>58</v>
      </c>
      <c r="E12" s="1" t="s">
        <v>23</v>
      </c>
      <c r="F12" s="1" t="s">
        <v>59</v>
      </c>
      <c r="G12" s="7" t="s">
        <v>25</v>
      </c>
    </row>
    <row r="13" spans="1:9" ht="23" thickBot="1">
      <c r="A13" s="8">
        <v>12</v>
      </c>
      <c r="B13" s="2" t="s">
        <v>60</v>
      </c>
      <c r="C13" s="2" t="s">
        <v>61</v>
      </c>
      <c r="D13" s="2" t="s">
        <v>62</v>
      </c>
      <c r="E13" s="2" t="s">
        <v>63</v>
      </c>
      <c r="F13" s="2">
        <v>1010</v>
      </c>
      <c r="G13" s="9" t="s">
        <v>64</v>
      </c>
    </row>
    <row r="14" spans="1:9" ht="23" thickBot="1">
      <c r="A14" s="6">
        <v>13</v>
      </c>
      <c r="B14" s="1" t="s">
        <v>65</v>
      </c>
      <c r="C14" s="1" t="s">
        <v>66</v>
      </c>
      <c r="D14" s="1" t="s">
        <v>67</v>
      </c>
      <c r="E14" s="1" t="s">
        <v>15</v>
      </c>
      <c r="F14" s="1">
        <v>5022</v>
      </c>
      <c r="G14" s="7" t="s">
        <v>16</v>
      </c>
    </row>
    <row r="15" spans="1:9" ht="15" thickBot="1">
      <c r="A15" s="8">
        <v>14</v>
      </c>
      <c r="B15" s="2" t="s">
        <v>68</v>
      </c>
      <c r="C15" s="2" t="s">
        <v>69</v>
      </c>
      <c r="D15" s="2" t="s">
        <v>70</v>
      </c>
      <c r="E15" s="2" t="s">
        <v>71</v>
      </c>
      <c r="F15" s="2">
        <v>3012</v>
      </c>
      <c r="G15" s="9" t="s">
        <v>72</v>
      </c>
    </row>
    <row r="16" spans="1:9" ht="23" thickBot="1">
      <c r="A16" s="6">
        <v>15</v>
      </c>
      <c r="B16" s="1" t="s">
        <v>73</v>
      </c>
      <c r="C16" s="1" t="s">
        <v>74</v>
      </c>
      <c r="D16" s="1" t="s">
        <v>75</v>
      </c>
      <c r="E16" s="1" t="s">
        <v>76</v>
      </c>
      <c r="F16" s="1" t="s">
        <v>77</v>
      </c>
      <c r="G16" s="7" t="s">
        <v>78</v>
      </c>
    </row>
    <row r="17" spans="1:7" ht="23" thickBot="1">
      <c r="A17" s="8">
        <v>16</v>
      </c>
      <c r="B17" s="2" t="s">
        <v>79</v>
      </c>
      <c r="C17" s="2" t="s">
        <v>80</v>
      </c>
      <c r="D17" s="2" t="s">
        <v>81</v>
      </c>
      <c r="E17" s="2" t="s">
        <v>23</v>
      </c>
      <c r="F17" s="2" t="s">
        <v>82</v>
      </c>
      <c r="G17" s="9" t="s">
        <v>25</v>
      </c>
    </row>
    <row r="18" spans="1:7" ht="23" thickBot="1">
      <c r="A18" s="6">
        <v>17</v>
      </c>
      <c r="B18" s="1" t="s">
        <v>83</v>
      </c>
      <c r="C18" s="1" t="s">
        <v>84</v>
      </c>
      <c r="D18" s="1" t="s">
        <v>85</v>
      </c>
      <c r="E18" s="1" t="s">
        <v>86</v>
      </c>
      <c r="F18" s="1">
        <v>52066</v>
      </c>
      <c r="G18" s="7" t="s">
        <v>11</v>
      </c>
    </row>
    <row r="19" spans="1:7" ht="23" thickBot="1">
      <c r="A19" s="8">
        <v>18</v>
      </c>
      <c r="B19" s="2" t="s">
        <v>87</v>
      </c>
      <c r="C19" s="2" t="s">
        <v>88</v>
      </c>
      <c r="D19" s="2" t="s">
        <v>89</v>
      </c>
      <c r="E19" s="2" t="s">
        <v>90</v>
      </c>
      <c r="F19" s="2">
        <v>44000</v>
      </c>
      <c r="G19" s="9" t="s">
        <v>40</v>
      </c>
    </row>
    <row r="20" spans="1:7" ht="15" thickBot="1">
      <c r="A20" s="6">
        <v>19</v>
      </c>
      <c r="B20" s="1" t="s">
        <v>91</v>
      </c>
      <c r="C20" s="1" t="s">
        <v>92</v>
      </c>
      <c r="D20" s="1" t="s">
        <v>93</v>
      </c>
      <c r="E20" s="1" t="s">
        <v>23</v>
      </c>
      <c r="F20" s="1" t="s">
        <v>94</v>
      </c>
      <c r="G20" s="7" t="s">
        <v>25</v>
      </c>
    </row>
    <row r="21" spans="1:7" ht="15" thickBot="1">
      <c r="A21" s="8">
        <v>20</v>
      </c>
      <c r="B21" s="2" t="s">
        <v>95</v>
      </c>
      <c r="C21" s="2" t="s">
        <v>96</v>
      </c>
      <c r="D21" s="2" t="s">
        <v>97</v>
      </c>
      <c r="E21" s="2" t="s">
        <v>98</v>
      </c>
      <c r="F21" s="2">
        <v>8010</v>
      </c>
      <c r="G21" s="9" t="s">
        <v>99</v>
      </c>
    </row>
    <row r="22" spans="1:7" ht="15" thickBot="1">
      <c r="A22" s="6">
        <v>21</v>
      </c>
      <c r="B22" s="1" t="s">
        <v>100</v>
      </c>
      <c r="C22" s="1" t="s">
        <v>101</v>
      </c>
      <c r="D22" s="1" t="s">
        <v>102</v>
      </c>
      <c r="E22" s="1" t="s">
        <v>76</v>
      </c>
      <c r="F22" s="1" t="s">
        <v>103</v>
      </c>
      <c r="G22" s="7" t="s">
        <v>78</v>
      </c>
    </row>
    <row r="23" spans="1:7" ht="23" thickBot="1">
      <c r="A23" s="8">
        <v>22</v>
      </c>
      <c r="B23" s="2" t="s">
        <v>104</v>
      </c>
      <c r="C23" s="2" t="s">
        <v>105</v>
      </c>
      <c r="D23" s="2" t="s">
        <v>106</v>
      </c>
      <c r="E23" s="2" t="s">
        <v>44</v>
      </c>
      <c r="F23" s="2">
        <v>28034</v>
      </c>
      <c r="G23" s="9" t="s">
        <v>45</v>
      </c>
    </row>
    <row r="24" spans="1:7" ht="23" thickBot="1">
      <c r="A24" s="6">
        <v>23</v>
      </c>
      <c r="B24" s="1" t="s">
        <v>107</v>
      </c>
      <c r="C24" s="1" t="s">
        <v>108</v>
      </c>
      <c r="D24" s="1" t="s">
        <v>109</v>
      </c>
      <c r="E24" s="1" t="s">
        <v>110</v>
      </c>
      <c r="F24" s="1">
        <v>59000</v>
      </c>
      <c r="G24" s="7" t="s">
        <v>40</v>
      </c>
    </row>
    <row r="25" spans="1:7" ht="15" thickBot="1">
      <c r="A25" s="8">
        <v>24</v>
      </c>
      <c r="B25" s="2" t="s">
        <v>111</v>
      </c>
      <c r="C25" s="2" t="s">
        <v>112</v>
      </c>
      <c r="D25" s="2" t="s">
        <v>113</v>
      </c>
      <c r="E25" s="2" t="s">
        <v>114</v>
      </c>
      <c r="F25" s="2" t="s">
        <v>115</v>
      </c>
      <c r="G25" s="9" t="s">
        <v>31</v>
      </c>
    </row>
    <row r="26" spans="1:7" ht="15" thickBot="1">
      <c r="A26" s="6">
        <v>25</v>
      </c>
      <c r="B26" s="1" t="s">
        <v>116</v>
      </c>
      <c r="C26" s="1" t="s">
        <v>117</v>
      </c>
      <c r="D26" s="1" t="s">
        <v>118</v>
      </c>
      <c r="E26" s="1" t="s">
        <v>119</v>
      </c>
      <c r="F26" s="1">
        <v>80805</v>
      </c>
      <c r="G26" s="7" t="s">
        <v>11</v>
      </c>
    </row>
    <row r="27" spans="1:7" ht="15" thickBot="1">
      <c r="A27" s="8">
        <v>26</v>
      </c>
      <c r="B27" s="2" t="s">
        <v>120</v>
      </c>
      <c r="C27" s="2" t="s">
        <v>121</v>
      </c>
      <c r="D27" s="2" t="s">
        <v>122</v>
      </c>
      <c r="E27" s="2" t="s">
        <v>90</v>
      </c>
      <c r="F27" s="2">
        <v>44000</v>
      </c>
      <c r="G27" s="9" t="s">
        <v>40</v>
      </c>
    </row>
    <row r="28" spans="1:7" ht="23" thickBot="1">
      <c r="A28" s="6">
        <v>27</v>
      </c>
      <c r="B28" s="1" t="s">
        <v>123</v>
      </c>
      <c r="C28" s="1" t="s">
        <v>124</v>
      </c>
      <c r="D28" s="1" t="s">
        <v>125</v>
      </c>
      <c r="E28" s="1" t="s">
        <v>126</v>
      </c>
      <c r="F28" s="1">
        <v>10100</v>
      </c>
      <c r="G28" s="7" t="s">
        <v>127</v>
      </c>
    </row>
    <row r="29" spans="1:7" ht="23" thickBot="1">
      <c r="A29" s="8">
        <v>28</v>
      </c>
      <c r="B29" s="2" t="s">
        <v>128</v>
      </c>
      <c r="C29" s="2" t="s">
        <v>129</v>
      </c>
      <c r="D29" s="2" t="s">
        <v>130</v>
      </c>
      <c r="E29" s="2" t="s">
        <v>131</v>
      </c>
      <c r="F29" s="2">
        <v>1675</v>
      </c>
      <c r="G29" s="9" t="s">
        <v>132</v>
      </c>
    </row>
    <row r="30" spans="1:7" ht="23" thickBot="1">
      <c r="A30" s="6">
        <v>29</v>
      </c>
      <c r="B30" s="1" t="s">
        <v>133</v>
      </c>
      <c r="C30" s="1" t="s">
        <v>134</v>
      </c>
      <c r="D30" s="1" t="s">
        <v>135</v>
      </c>
      <c r="E30" s="1" t="s">
        <v>136</v>
      </c>
      <c r="F30" s="1">
        <v>8022</v>
      </c>
      <c r="G30" s="7" t="s">
        <v>45</v>
      </c>
    </row>
    <row r="31" spans="1:7" ht="23" thickBot="1">
      <c r="A31" s="8">
        <v>30</v>
      </c>
      <c r="B31" s="2" t="s">
        <v>137</v>
      </c>
      <c r="C31" s="2" t="s">
        <v>138</v>
      </c>
      <c r="D31" s="2" t="s">
        <v>139</v>
      </c>
      <c r="E31" s="2" t="s">
        <v>140</v>
      </c>
      <c r="F31" s="2">
        <v>41101</v>
      </c>
      <c r="G31" s="9" t="s">
        <v>45</v>
      </c>
    </row>
    <row r="32" spans="1:7" ht="23" thickBot="1">
      <c r="A32" s="6">
        <v>31</v>
      </c>
      <c r="B32" s="1" t="s">
        <v>141</v>
      </c>
      <c r="C32" s="1" t="s">
        <v>142</v>
      </c>
      <c r="D32" s="1" t="s">
        <v>143</v>
      </c>
      <c r="E32" s="1" t="s">
        <v>144</v>
      </c>
      <c r="F32" s="1" t="s">
        <v>145</v>
      </c>
      <c r="G32" s="7" t="s">
        <v>78</v>
      </c>
    </row>
    <row r="33" spans="1:7" ht="23" thickBot="1">
      <c r="A33" s="8">
        <v>32</v>
      </c>
      <c r="B33" s="2" t="s">
        <v>146</v>
      </c>
      <c r="C33" s="2" t="s">
        <v>147</v>
      </c>
      <c r="D33" s="2" t="s">
        <v>148</v>
      </c>
      <c r="E33" s="2" t="s">
        <v>149</v>
      </c>
      <c r="F33" s="2">
        <v>97403</v>
      </c>
      <c r="G33" s="9" t="s">
        <v>150</v>
      </c>
    </row>
    <row r="34" spans="1:7" ht="23" thickBot="1">
      <c r="A34" s="6">
        <v>33</v>
      </c>
      <c r="B34" s="1" t="s">
        <v>151</v>
      </c>
      <c r="C34" s="1" t="s">
        <v>152</v>
      </c>
      <c r="D34" s="1" t="s">
        <v>153</v>
      </c>
      <c r="E34" s="1" t="s">
        <v>154</v>
      </c>
      <c r="F34" s="1">
        <v>1081</v>
      </c>
      <c r="G34" s="7" t="s">
        <v>155</v>
      </c>
    </row>
    <row r="35" spans="1:7" ht="15" thickBot="1">
      <c r="A35" s="8">
        <v>34</v>
      </c>
      <c r="B35" s="2" t="s">
        <v>156</v>
      </c>
      <c r="C35" s="2" t="s">
        <v>157</v>
      </c>
      <c r="D35" s="2" t="s">
        <v>158</v>
      </c>
      <c r="E35" s="2" t="s">
        <v>159</v>
      </c>
      <c r="F35" s="2" t="s">
        <v>160</v>
      </c>
      <c r="G35" s="9" t="s">
        <v>78</v>
      </c>
    </row>
    <row r="36" spans="1:7" ht="34" thickBot="1">
      <c r="A36" s="6">
        <v>35</v>
      </c>
      <c r="B36" s="1" t="s">
        <v>161</v>
      </c>
      <c r="C36" s="1" t="s">
        <v>162</v>
      </c>
      <c r="D36" s="1" t="s">
        <v>163</v>
      </c>
      <c r="E36" s="1" t="s">
        <v>164</v>
      </c>
      <c r="F36" s="1">
        <v>5022</v>
      </c>
      <c r="G36" s="7" t="s">
        <v>155</v>
      </c>
    </row>
    <row r="37" spans="1:7" ht="23" thickBot="1">
      <c r="A37" s="8">
        <v>36</v>
      </c>
      <c r="B37" s="2" t="s">
        <v>165</v>
      </c>
      <c r="C37" s="2" t="s">
        <v>166</v>
      </c>
      <c r="D37" s="2" t="s">
        <v>167</v>
      </c>
      <c r="E37" s="2" t="s">
        <v>168</v>
      </c>
      <c r="F37" s="2">
        <v>97827</v>
      </c>
      <c r="G37" s="9" t="s">
        <v>150</v>
      </c>
    </row>
    <row r="38" spans="1:7" ht="23" thickBot="1">
      <c r="A38" s="6">
        <v>37</v>
      </c>
      <c r="B38" s="1" t="s">
        <v>169</v>
      </c>
      <c r="C38" s="1" t="s">
        <v>170</v>
      </c>
      <c r="D38" s="1" t="s">
        <v>171</v>
      </c>
      <c r="E38" s="1" t="s">
        <v>172</v>
      </c>
      <c r="F38" s="1"/>
      <c r="G38" s="7" t="s">
        <v>173</v>
      </c>
    </row>
    <row r="39" spans="1:7" ht="23" thickBot="1">
      <c r="A39" s="8">
        <v>38</v>
      </c>
      <c r="B39" s="2" t="s">
        <v>174</v>
      </c>
      <c r="C39" s="2" t="s">
        <v>175</v>
      </c>
      <c r="D39" s="2" t="s">
        <v>176</v>
      </c>
      <c r="E39" s="2" t="s">
        <v>177</v>
      </c>
      <c r="F39" s="2" t="s">
        <v>178</v>
      </c>
      <c r="G39" s="9" t="s">
        <v>25</v>
      </c>
    </row>
    <row r="40" spans="1:7" ht="15" thickBot="1">
      <c r="A40" s="6">
        <v>39</v>
      </c>
      <c r="B40" s="1" t="s">
        <v>179</v>
      </c>
      <c r="C40" s="1" t="s">
        <v>180</v>
      </c>
      <c r="D40" s="1" t="s">
        <v>181</v>
      </c>
      <c r="E40" s="1" t="s">
        <v>182</v>
      </c>
      <c r="F40" s="1">
        <v>14776</v>
      </c>
      <c r="G40" s="7" t="s">
        <v>11</v>
      </c>
    </row>
    <row r="41" spans="1:7" ht="23" thickBot="1">
      <c r="A41" s="8">
        <v>40</v>
      </c>
      <c r="B41" s="2" t="s">
        <v>183</v>
      </c>
      <c r="C41" s="2" t="s">
        <v>184</v>
      </c>
      <c r="D41" s="2" t="s">
        <v>185</v>
      </c>
      <c r="E41" s="2" t="s">
        <v>186</v>
      </c>
      <c r="F41" s="2">
        <v>78000</v>
      </c>
      <c r="G41" s="9" t="s">
        <v>40</v>
      </c>
    </row>
    <row r="42" spans="1:7" ht="23" thickBot="1">
      <c r="A42" s="6">
        <v>41</v>
      </c>
      <c r="B42" s="1" t="s">
        <v>187</v>
      </c>
      <c r="C42" s="1" t="s">
        <v>188</v>
      </c>
      <c r="D42" s="1" t="s">
        <v>189</v>
      </c>
      <c r="E42" s="1" t="s">
        <v>190</v>
      </c>
      <c r="F42" s="1">
        <v>31000</v>
      </c>
      <c r="G42" s="7" t="s">
        <v>40</v>
      </c>
    </row>
    <row r="43" spans="1:7" ht="23" thickBot="1">
      <c r="A43" s="8">
        <v>42</v>
      </c>
      <c r="B43" s="2" t="s">
        <v>191</v>
      </c>
      <c r="C43" s="2" t="s">
        <v>192</v>
      </c>
      <c r="D43" s="2" t="s">
        <v>193</v>
      </c>
      <c r="E43" s="2" t="s">
        <v>194</v>
      </c>
      <c r="F43" s="2" t="s">
        <v>195</v>
      </c>
      <c r="G43" s="9" t="s">
        <v>55</v>
      </c>
    </row>
    <row r="44" spans="1:7" ht="23" thickBot="1">
      <c r="A44" s="6">
        <v>43</v>
      </c>
      <c r="B44" s="1" t="s">
        <v>196</v>
      </c>
      <c r="C44" s="1" t="s">
        <v>197</v>
      </c>
      <c r="D44" s="1" t="s">
        <v>198</v>
      </c>
      <c r="E44" s="1" t="s">
        <v>199</v>
      </c>
      <c r="F44" s="1">
        <v>99362</v>
      </c>
      <c r="G44" s="7" t="s">
        <v>150</v>
      </c>
    </row>
    <row r="45" spans="1:7" ht="23" thickBot="1">
      <c r="A45" s="8">
        <v>44</v>
      </c>
      <c r="B45" s="2" t="s">
        <v>200</v>
      </c>
      <c r="C45" s="2" t="s">
        <v>201</v>
      </c>
      <c r="D45" s="2" t="s">
        <v>202</v>
      </c>
      <c r="E45" s="2" t="s">
        <v>203</v>
      </c>
      <c r="F45" s="2">
        <v>60528</v>
      </c>
      <c r="G45" s="9" t="s">
        <v>11</v>
      </c>
    </row>
    <row r="46" spans="1:7" ht="15" thickBot="1">
      <c r="A46" s="6">
        <v>45</v>
      </c>
      <c r="B46" s="1" t="s">
        <v>204</v>
      </c>
      <c r="C46" s="1" t="s">
        <v>205</v>
      </c>
      <c r="D46" s="1" t="s">
        <v>206</v>
      </c>
      <c r="E46" s="1" t="s">
        <v>207</v>
      </c>
      <c r="F46" s="1">
        <v>94117</v>
      </c>
      <c r="G46" s="7" t="s">
        <v>150</v>
      </c>
    </row>
    <row r="47" spans="1:7" ht="34" thickBot="1">
      <c r="A47" s="8">
        <v>46</v>
      </c>
      <c r="B47" s="2" t="s">
        <v>208</v>
      </c>
      <c r="C47" s="2" t="s">
        <v>209</v>
      </c>
      <c r="D47" s="2" t="s">
        <v>210</v>
      </c>
      <c r="E47" s="2" t="s">
        <v>211</v>
      </c>
      <c r="F47" s="2">
        <v>3508</v>
      </c>
      <c r="G47" s="9" t="s">
        <v>155</v>
      </c>
    </row>
    <row r="48" spans="1:7" ht="23" thickBot="1">
      <c r="A48" s="6">
        <v>47</v>
      </c>
      <c r="B48" s="1" t="s">
        <v>212</v>
      </c>
      <c r="C48" s="1" t="s">
        <v>213</v>
      </c>
      <c r="D48" s="1" t="s">
        <v>214</v>
      </c>
      <c r="E48" s="1" t="s">
        <v>215</v>
      </c>
      <c r="F48" s="1">
        <v>4980</v>
      </c>
      <c r="G48" s="7" t="s">
        <v>155</v>
      </c>
    </row>
    <row r="49" spans="1:7" ht="23" thickBot="1">
      <c r="A49" s="8">
        <v>48</v>
      </c>
      <c r="B49" s="2" t="s">
        <v>216</v>
      </c>
      <c r="C49" s="2" t="s">
        <v>217</v>
      </c>
      <c r="D49" s="2" t="s">
        <v>218</v>
      </c>
      <c r="E49" s="2" t="s">
        <v>219</v>
      </c>
      <c r="F49" s="2">
        <v>97219</v>
      </c>
      <c r="G49" s="9" t="s">
        <v>150</v>
      </c>
    </row>
    <row r="50" spans="1:7" ht="23" thickBot="1">
      <c r="A50" s="6">
        <v>49</v>
      </c>
      <c r="B50" s="1" t="s">
        <v>220</v>
      </c>
      <c r="C50" s="1" t="s">
        <v>221</v>
      </c>
      <c r="D50" s="1" t="s">
        <v>222</v>
      </c>
      <c r="E50" s="1" t="s">
        <v>223</v>
      </c>
      <c r="F50" s="1">
        <v>24100</v>
      </c>
      <c r="G50" s="7" t="s">
        <v>127</v>
      </c>
    </row>
    <row r="51" spans="1:7" ht="23" thickBot="1">
      <c r="A51" s="8">
        <v>50</v>
      </c>
      <c r="B51" s="2" t="s">
        <v>224</v>
      </c>
      <c r="C51" s="2" t="s">
        <v>225</v>
      </c>
      <c r="D51" s="2" t="s">
        <v>226</v>
      </c>
      <c r="E51" s="2" t="s">
        <v>227</v>
      </c>
      <c r="F51" s="2" t="s">
        <v>228</v>
      </c>
      <c r="G51" s="9" t="s">
        <v>229</v>
      </c>
    </row>
    <row r="52" spans="1:7" ht="15" thickBot="1">
      <c r="A52" s="6">
        <v>51</v>
      </c>
      <c r="B52" s="1" t="s">
        <v>230</v>
      </c>
      <c r="C52" s="1" t="s">
        <v>231</v>
      </c>
      <c r="D52" s="1" t="s">
        <v>232</v>
      </c>
      <c r="E52" s="1" t="s">
        <v>233</v>
      </c>
      <c r="F52" s="1" t="s">
        <v>234</v>
      </c>
      <c r="G52" s="7" t="s">
        <v>55</v>
      </c>
    </row>
    <row r="53" spans="1:7" ht="23" thickBot="1">
      <c r="A53" s="8">
        <v>52</v>
      </c>
      <c r="B53" s="2" t="s">
        <v>235</v>
      </c>
      <c r="C53" s="2" t="s">
        <v>236</v>
      </c>
      <c r="D53" s="2" t="s">
        <v>237</v>
      </c>
      <c r="E53" s="2" t="s">
        <v>238</v>
      </c>
      <c r="F53" s="2">
        <v>4179</v>
      </c>
      <c r="G53" s="9" t="s">
        <v>11</v>
      </c>
    </row>
    <row r="54" spans="1:7" ht="23" thickBot="1">
      <c r="A54" s="6">
        <v>53</v>
      </c>
      <c r="B54" s="1" t="s">
        <v>239</v>
      </c>
      <c r="C54" s="1" t="s">
        <v>240</v>
      </c>
      <c r="D54" s="1" t="s">
        <v>241</v>
      </c>
      <c r="E54" s="1" t="s">
        <v>23</v>
      </c>
      <c r="F54" s="1" t="s">
        <v>242</v>
      </c>
      <c r="G54" s="7" t="s">
        <v>25</v>
      </c>
    </row>
    <row r="55" spans="1:7" ht="34" thickBot="1">
      <c r="A55" s="8">
        <v>54</v>
      </c>
      <c r="B55" s="2" t="s">
        <v>243</v>
      </c>
      <c r="C55" s="2" t="s">
        <v>244</v>
      </c>
      <c r="D55" s="2" t="s">
        <v>245</v>
      </c>
      <c r="E55" s="2" t="s">
        <v>63</v>
      </c>
      <c r="F55" s="2">
        <v>1010</v>
      </c>
      <c r="G55" s="9" t="s">
        <v>64</v>
      </c>
    </row>
    <row r="56" spans="1:7" ht="23" thickBot="1">
      <c r="A56" s="6">
        <v>55</v>
      </c>
      <c r="B56" s="1" t="s">
        <v>246</v>
      </c>
      <c r="C56" s="1" t="s">
        <v>247</v>
      </c>
      <c r="D56" s="1" t="s">
        <v>248</v>
      </c>
      <c r="E56" s="1" t="s">
        <v>249</v>
      </c>
      <c r="F56" s="1">
        <v>99508</v>
      </c>
      <c r="G56" s="7" t="s">
        <v>150</v>
      </c>
    </row>
    <row r="57" spans="1:7" ht="15" thickBot="1">
      <c r="A57" s="8">
        <v>56</v>
      </c>
      <c r="B57" s="2" t="s">
        <v>250</v>
      </c>
      <c r="C57" s="2" t="s">
        <v>251</v>
      </c>
      <c r="D57" s="2" t="s">
        <v>252</v>
      </c>
      <c r="E57" s="2" t="s">
        <v>253</v>
      </c>
      <c r="F57" s="2">
        <v>50739</v>
      </c>
      <c r="G57" s="9" t="s">
        <v>11</v>
      </c>
    </row>
    <row r="58" spans="1:7" ht="23" thickBot="1">
      <c r="A58" s="6">
        <v>57</v>
      </c>
      <c r="B58" s="1" t="s">
        <v>254</v>
      </c>
      <c r="C58" s="1" t="s">
        <v>255</v>
      </c>
      <c r="D58" s="1" t="s">
        <v>256</v>
      </c>
      <c r="E58" s="1" t="s">
        <v>257</v>
      </c>
      <c r="F58" s="1">
        <v>75012</v>
      </c>
      <c r="G58" s="7" t="s">
        <v>40</v>
      </c>
    </row>
    <row r="59" spans="1:7" ht="23" thickBot="1">
      <c r="A59" s="8">
        <v>58</v>
      </c>
      <c r="B59" s="2" t="s">
        <v>258</v>
      </c>
      <c r="C59" s="2" t="s">
        <v>259</v>
      </c>
      <c r="D59" s="2" t="s">
        <v>260</v>
      </c>
      <c r="E59" s="2" t="s">
        <v>15</v>
      </c>
      <c r="F59" s="2">
        <v>5033</v>
      </c>
      <c r="G59" s="9" t="s">
        <v>16</v>
      </c>
    </row>
    <row r="60" spans="1:7" ht="15" thickBot="1">
      <c r="A60" s="6">
        <v>59</v>
      </c>
      <c r="B60" s="1" t="s">
        <v>261</v>
      </c>
      <c r="C60" s="1" t="s">
        <v>262</v>
      </c>
      <c r="D60" s="1" t="s">
        <v>263</v>
      </c>
      <c r="E60" s="1" t="s">
        <v>264</v>
      </c>
      <c r="F60" s="1">
        <v>5020</v>
      </c>
      <c r="G60" s="7" t="s">
        <v>99</v>
      </c>
    </row>
    <row r="61" spans="1:7" ht="23" thickBot="1">
      <c r="A61" s="8">
        <v>60</v>
      </c>
      <c r="B61" s="2" t="s">
        <v>265</v>
      </c>
      <c r="C61" s="2" t="s">
        <v>266</v>
      </c>
      <c r="D61" s="2" t="s">
        <v>267</v>
      </c>
      <c r="E61" s="2" t="s">
        <v>131</v>
      </c>
      <c r="F61" s="2">
        <v>1756</v>
      </c>
      <c r="G61" s="9" t="s">
        <v>132</v>
      </c>
    </row>
    <row r="62" spans="1:7" ht="23" thickBot="1">
      <c r="A62" s="6">
        <v>61</v>
      </c>
      <c r="B62" s="1" t="s">
        <v>268</v>
      </c>
      <c r="C62" s="1" t="s">
        <v>269</v>
      </c>
      <c r="D62" s="1" t="s">
        <v>270</v>
      </c>
      <c r="E62" s="1" t="s">
        <v>159</v>
      </c>
      <c r="F62" s="1" t="s">
        <v>271</v>
      </c>
      <c r="G62" s="7" t="s">
        <v>78</v>
      </c>
    </row>
    <row r="63" spans="1:7" ht="23" thickBot="1">
      <c r="A63" s="8">
        <v>62</v>
      </c>
      <c r="B63" s="2" t="s">
        <v>272</v>
      </c>
      <c r="C63" s="2" t="s">
        <v>273</v>
      </c>
      <c r="D63" s="2" t="s">
        <v>274</v>
      </c>
      <c r="E63" s="2" t="s">
        <v>76</v>
      </c>
      <c r="F63" s="2" t="s">
        <v>275</v>
      </c>
      <c r="G63" s="9" t="s">
        <v>78</v>
      </c>
    </row>
    <row r="64" spans="1:7" ht="15" thickBot="1">
      <c r="A64" s="6">
        <v>63</v>
      </c>
      <c r="B64" s="1" t="s">
        <v>276</v>
      </c>
      <c r="C64" s="1" t="s">
        <v>277</v>
      </c>
      <c r="D64" s="1" t="s">
        <v>278</v>
      </c>
      <c r="E64" s="1" t="s">
        <v>279</v>
      </c>
      <c r="F64" s="1">
        <v>1307</v>
      </c>
      <c r="G64" s="7" t="s">
        <v>11</v>
      </c>
    </row>
    <row r="65" spans="1:7" ht="23" thickBot="1">
      <c r="A65" s="8">
        <v>64</v>
      </c>
      <c r="B65" s="2" t="s">
        <v>280</v>
      </c>
      <c r="C65" s="2" t="s">
        <v>281</v>
      </c>
      <c r="D65" s="2" t="s">
        <v>282</v>
      </c>
      <c r="E65" s="2" t="s">
        <v>63</v>
      </c>
      <c r="F65" s="2">
        <v>1010</v>
      </c>
      <c r="G65" s="9" t="s">
        <v>64</v>
      </c>
    </row>
    <row r="66" spans="1:7" ht="23" thickBot="1">
      <c r="A66" s="6">
        <v>65</v>
      </c>
      <c r="B66" s="1" t="s">
        <v>283</v>
      </c>
      <c r="C66" s="1" t="s">
        <v>284</v>
      </c>
      <c r="D66" s="1" t="s">
        <v>285</v>
      </c>
      <c r="E66" s="1" t="s">
        <v>286</v>
      </c>
      <c r="F66" s="1">
        <v>87110</v>
      </c>
      <c r="G66" s="7" t="s">
        <v>150</v>
      </c>
    </row>
    <row r="67" spans="1:7" ht="23" thickBot="1">
      <c r="A67" s="8">
        <v>66</v>
      </c>
      <c r="B67" s="2" t="s">
        <v>287</v>
      </c>
      <c r="C67" s="2" t="s">
        <v>288</v>
      </c>
      <c r="D67" s="2" t="s">
        <v>289</v>
      </c>
      <c r="E67" s="2" t="s">
        <v>290</v>
      </c>
      <c r="F67" s="2">
        <v>42100</v>
      </c>
      <c r="G67" s="9" t="s">
        <v>127</v>
      </c>
    </row>
    <row r="68" spans="1:7" ht="23" thickBot="1">
      <c r="A68" s="6">
        <v>67</v>
      </c>
      <c r="B68" s="1" t="s">
        <v>291</v>
      </c>
      <c r="C68" s="1" t="s">
        <v>292</v>
      </c>
      <c r="D68" s="1" t="s">
        <v>293</v>
      </c>
      <c r="E68" s="1" t="s">
        <v>159</v>
      </c>
      <c r="F68" s="1" t="s">
        <v>294</v>
      </c>
      <c r="G68" s="7" t="s">
        <v>78</v>
      </c>
    </row>
    <row r="69" spans="1:7" ht="15" thickBot="1">
      <c r="A69" s="8">
        <v>68</v>
      </c>
      <c r="B69" s="2" t="s">
        <v>295</v>
      </c>
      <c r="C69" s="2" t="s">
        <v>296</v>
      </c>
      <c r="D69" s="2" t="s">
        <v>297</v>
      </c>
      <c r="E69" s="2" t="s">
        <v>298</v>
      </c>
      <c r="F69" s="2">
        <v>1203</v>
      </c>
      <c r="G69" s="9" t="s">
        <v>72</v>
      </c>
    </row>
    <row r="70" spans="1:7" ht="15" thickBot="1">
      <c r="A70" s="6">
        <v>69</v>
      </c>
      <c r="B70" s="1" t="s">
        <v>299</v>
      </c>
      <c r="C70" s="1" t="s">
        <v>300</v>
      </c>
      <c r="D70" s="1" t="s">
        <v>301</v>
      </c>
      <c r="E70" s="1" t="s">
        <v>44</v>
      </c>
      <c r="F70" s="1">
        <v>28001</v>
      </c>
      <c r="G70" s="7" t="s">
        <v>45</v>
      </c>
    </row>
    <row r="71" spans="1:7" ht="23" thickBot="1">
      <c r="A71" s="8">
        <v>70</v>
      </c>
      <c r="B71" s="2" t="s">
        <v>302</v>
      </c>
      <c r="C71" s="2" t="s">
        <v>303</v>
      </c>
      <c r="D71" s="2" t="s">
        <v>304</v>
      </c>
      <c r="E71" s="2" t="s">
        <v>305</v>
      </c>
      <c r="F71" s="2">
        <v>4110</v>
      </c>
      <c r="G71" s="9" t="s">
        <v>306</v>
      </c>
    </row>
    <row r="72" spans="1:7" ht="15" thickBot="1">
      <c r="A72" s="6">
        <v>71</v>
      </c>
      <c r="B72" s="1" t="s">
        <v>307</v>
      </c>
      <c r="C72" s="1" t="s">
        <v>308</v>
      </c>
      <c r="D72" s="1" t="s">
        <v>309</v>
      </c>
      <c r="E72" s="1" t="s">
        <v>310</v>
      </c>
      <c r="F72" s="1">
        <v>83720</v>
      </c>
      <c r="G72" s="7" t="s">
        <v>150</v>
      </c>
    </row>
    <row r="73" spans="1:7" ht="15" thickBot="1">
      <c r="A73" s="8">
        <v>72</v>
      </c>
      <c r="B73" s="2" t="s">
        <v>311</v>
      </c>
      <c r="C73" s="2" t="s">
        <v>312</v>
      </c>
      <c r="D73" s="2" t="s">
        <v>313</v>
      </c>
      <c r="E73" s="2" t="s">
        <v>23</v>
      </c>
      <c r="F73" s="2" t="s">
        <v>314</v>
      </c>
      <c r="G73" s="9" t="s">
        <v>25</v>
      </c>
    </row>
    <row r="74" spans="1:7" ht="15" thickBot="1">
      <c r="A74" s="6">
        <v>73</v>
      </c>
      <c r="B74" s="1" t="s">
        <v>315</v>
      </c>
      <c r="C74" s="1" t="s">
        <v>316</v>
      </c>
      <c r="D74" s="1" t="s">
        <v>317</v>
      </c>
      <c r="E74" s="1" t="s">
        <v>318</v>
      </c>
      <c r="F74" s="1">
        <v>1734</v>
      </c>
      <c r="G74" s="7" t="s">
        <v>319</v>
      </c>
    </row>
    <row r="75" spans="1:7" ht="23" thickBot="1">
      <c r="A75" s="8">
        <v>74</v>
      </c>
      <c r="B75" s="2" t="s">
        <v>320</v>
      </c>
      <c r="C75" s="2" t="s">
        <v>321</v>
      </c>
      <c r="D75" s="2" t="s">
        <v>322</v>
      </c>
      <c r="E75" s="2" t="s">
        <v>257</v>
      </c>
      <c r="F75" s="2">
        <v>75016</v>
      </c>
      <c r="G75" s="9" t="s">
        <v>40</v>
      </c>
    </row>
    <row r="76" spans="1:7" ht="23" thickBot="1">
      <c r="A76" s="6">
        <v>75</v>
      </c>
      <c r="B76" s="1" t="s">
        <v>323</v>
      </c>
      <c r="C76" s="1" t="s">
        <v>324</v>
      </c>
      <c r="D76" s="1" t="s">
        <v>325</v>
      </c>
      <c r="E76" s="1" t="s">
        <v>326</v>
      </c>
      <c r="F76" s="1">
        <v>82520</v>
      </c>
      <c r="G76" s="7" t="s">
        <v>150</v>
      </c>
    </row>
    <row r="77" spans="1:7" ht="23" thickBot="1">
      <c r="A77" s="8">
        <v>76</v>
      </c>
      <c r="B77" s="2" t="s">
        <v>327</v>
      </c>
      <c r="C77" s="2" t="s">
        <v>328</v>
      </c>
      <c r="D77" s="2" t="s">
        <v>329</v>
      </c>
      <c r="E77" s="2" t="s">
        <v>330</v>
      </c>
      <c r="F77" s="2" t="s">
        <v>331</v>
      </c>
      <c r="G77" s="9" t="s">
        <v>229</v>
      </c>
    </row>
    <row r="78" spans="1:7" ht="23" thickBot="1">
      <c r="A78" s="6">
        <v>77</v>
      </c>
      <c r="B78" s="1" t="s">
        <v>332</v>
      </c>
      <c r="C78" s="1" t="s">
        <v>333</v>
      </c>
      <c r="D78" s="1" t="s">
        <v>334</v>
      </c>
      <c r="E78" s="1" t="s">
        <v>219</v>
      </c>
      <c r="F78" s="1">
        <v>97201</v>
      </c>
      <c r="G78" s="7" t="s">
        <v>150</v>
      </c>
    </row>
    <row r="79" spans="1:7" ht="15" thickBot="1">
      <c r="A79" s="8">
        <v>78</v>
      </c>
      <c r="B79" s="2" t="s">
        <v>335</v>
      </c>
      <c r="C79" s="2" t="s">
        <v>336</v>
      </c>
      <c r="D79" s="2" t="s">
        <v>337</v>
      </c>
      <c r="E79" s="2" t="s">
        <v>338</v>
      </c>
      <c r="F79" s="2">
        <v>59801</v>
      </c>
      <c r="G79" s="9" t="s">
        <v>150</v>
      </c>
    </row>
    <row r="80" spans="1:7" ht="15" thickBot="1">
      <c r="A80" s="6">
        <v>79</v>
      </c>
      <c r="B80" s="1" t="s">
        <v>339</v>
      </c>
      <c r="C80" s="1" t="s">
        <v>340</v>
      </c>
      <c r="D80" s="1" t="s">
        <v>341</v>
      </c>
      <c r="E80" s="1" t="s">
        <v>342</v>
      </c>
      <c r="F80" s="1">
        <v>44087</v>
      </c>
      <c r="G80" s="7" t="s">
        <v>11</v>
      </c>
    </row>
    <row r="81" spans="1:7" ht="23" thickBot="1">
      <c r="A81" s="8">
        <v>80</v>
      </c>
      <c r="B81" s="2" t="s">
        <v>343</v>
      </c>
      <c r="C81" s="2" t="s">
        <v>344</v>
      </c>
      <c r="D81" s="2" t="s">
        <v>345</v>
      </c>
      <c r="E81" s="2" t="s">
        <v>15</v>
      </c>
      <c r="F81" s="2">
        <v>5033</v>
      </c>
      <c r="G81" s="9" t="s">
        <v>16</v>
      </c>
    </row>
    <row r="82" spans="1:7" ht="23" thickBot="1">
      <c r="A82" s="6">
        <v>81</v>
      </c>
      <c r="B82" s="1" t="s">
        <v>346</v>
      </c>
      <c r="C82" s="1" t="s">
        <v>347</v>
      </c>
      <c r="D82" s="1" t="s">
        <v>348</v>
      </c>
      <c r="E82" s="1" t="s">
        <v>76</v>
      </c>
      <c r="F82" s="1" t="s">
        <v>349</v>
      </c>
      <c r="G82" s="7" t="s">
        <v>78</v>
      </c>
    </row>
    <row r="83" spans="1:7" ht="34" thickBot="1">
      <c r="A83" s="8">
        <v>82</v>
      </c>
      <c r="B83" s="2" t="s">
        <v>350</v>
      </c>
      <c r="C83" s="2" t="s">
        <v>351</v>
      </c>
      <c r="D83" s="2" t="s">
        <v>352</v>
      </c>
      <c r="E83" s="2" t="s">
        <v>353</v>
      </c>
      <c r="F83" s="2">
        <v>98034</v>
      </c>
      <c r="G83" s="9" t="s">
        <v>150</v>
      </c>
    </row>
    <row r="84" spans="1:7" ht="15" thickBot="1">
      <c r="A84" s="6">
        <v>83</v>
      </c>
      <c r="B84" s="1" t="s">
        <v>354</v>
      </c>
      <c r="C84" s="1" t="s">
        <v>355</v>
      </c>
      <c r="D84" s="1" t="s">
        <v>356</v>
      </c>
      <c r="E84" s="1" t="s">
        <v>357</v>
      </c>
      <c r="F84" s="1">
        <v>8200</v>
      </c>
      <c r="G84" s="7" t="s">
        <v>319</v>
      </c>
    </row>
    <row r="85" spans="1:7" ht="15" thickBot="1">
      <c r="A85" s="8">
        <v>84</v>
      </c>
      <c r="B85" s="2" t="s">
        <v>358</v>
      </c>
      <c r="C85" s="2" t="s">
        <v>359</v>
      </c>
      <c r="D85" s="2" t="s">
        <v>360</v>
      </c>
      <c r="E85" s="2" t="s">
        <v>361</v>
      </c>
      <c r="F85" s="2">
        <v>69004</v>
      </c>
      <c r="G85" s="9" t="s">
        <v>40</v>
      </c>
    </row>
    <row r="86" spans="1:7" ht="23" thickBot="1">
      <c r="A86" s="6">
        <v>85</v>
      </c>
      <c r="B86" s="1" t="s">
        <v>362</v>
      </c>
      <c r="C86" s="1" t="s">
        <v>363</v>
      </c>
      <c r="D86" s="1" t="s">
        <v>364</v>
      </c>
      <c r="E86" s="1" t="s">
        <v>365</v>
      </c>
      <c r="F86" s="1">
        <v>51100</v>
      </c>
      <c r="G86" s="7" t="s">
        <v>40</v>
      </c>
    </row>
    <row r="87" spans="1:7" ht="23" thickBot="1">
      <c r="A87" s="8">
        <v>86</v>
      </c>
      <c r="B87" s="2" t="s">
        <v>366</v>
      </c>
      <c r="C87" s="2" t="s">
        <v>367</v>
      </c>
      <c r="D87" s="2" t="s">
        <v>368</v>
      </c>
      <c r="E87" s="2" t="s">
        <v>369</v>
      </c>
      <c r="F87" s="2">
        <v>70563</v>
      </c>
      <c r="G87" s="9" t="s">
        <v>11</v>
      </c>
    </row>
    <row r="88" spans="1:7" ht="15" thickBot="1">
      <c r="A88" s="6">
        <v>87</v>
      </c>
      <c r="B88" s="1" t="s">
        <v>370</v>
      </c>
      <c r="C88" s="1" t="s">
        <v>371</v>
      </c>
      <c r="D88" s="1" t="s">
        <v>372</v>
      </c>
      <c r="E88" s="1" t="s">
        <v>373</v>
      </c>
      <c r="F88" s="1">
        <v>90110</v>
      </c>
      <c r="G88" s="7" t="s">
        <v>374</v>
      </c>
    </row>
    <row r="89" spans="1:7" ht="23" thickBot="1">
      <c r="A89" s="8">
        <v>88</v>
      </c>
      <c r="B89" s="2" t="s">
        <v>375</v>
      </c>
      <c r="C89" s="2" t="s">
        <v>376</v>
      </c>
      <c r="D89" s="2" t="s">
        <v>377</v>
      </c>
      <c r="E89" s="2" t="s">
        <v>378</v>
      </c>
      <c r="F89" s="2" t="s">
        <v>379</v>
      </c>
      <c r="G89" s="9" t="s">
        <v>78</v>
      </c>
    </row>
    <row r="90" spans="1:7" ht="23" thickBot="1">
      <c r="A90" s="6">
        <v>89</v>
      </c>
      <c r="B90" s="1" t="s">
        <v>380</v>
      </c>
      <c r="C90" s="1" t="s">
        <v>381</v>
      </c>
      <c r="D90" s="1" t="s">
        <v>382</v>
      </c>
      <c r="E90" s="1" t="s">
        <v>383</v>
      </c>
      <c r="F90" s="1">
        <v>98128</v>
      </c>
      <c r="G90" s="7" t="s">
        <v>150</v>
      </c>
    </row>
    <row r="91" spans="1:7" ht="15" thickBot="1">
      <c r="A91" s="8">
        <v>90</v>
      </c>
      <c r="B91" s="2" t="s">
        <v>384</v>
      </c>
      <c r="C91" s="2" t="s">
        <v>385</v>
      </c>
      <c r="D91" s="2" t="s">
        <v>386</v>
      </c>
      <c r="E91" s="2" t="s">
        <v>387</v>
      </c>
      <c r="F91" s="2">
        <v>21240</v>
      </c>
      <c r="G91" s="9" t="s">
        <v>374</v>
      </c>
    </row>
    <row r="92" spans="1:7" ht="15" thickBot="1">
      <c r="A92" s="10">
        <v>91</v>
      </c>
      <c r="B92" s="11" t="s">
        <v>388</v>
      </c>
      <c r="C92" s="11" t="s">
        <v>389</v>
      </c>
      <c r="D92" s="11" t="s">
        <v>390</v>
      </c>
      <c r="E92" s="11" t="s">
        <v>391</v>
      </c>
      <c r="F92" s="11" t="s">
        <v>392</v>
      </c>
      <c r="G92" s="12" t="s">
        <v>393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7"/>
  <dimension ref="A1:F78"/>
  <sheetViews>
    <sheetView workbookViewId="0">
      <selection activeCell="A4" sqref="A4"/>
    </sheetView>
  </sheetViews>
  <sheetFormatPr baseColWidth="10" defaultRowHeight="14"/>
  <sheetData>
    <row r="1" spans="1:6" ht="15" thickBot="1">
      <c r="A1" s="3" t="s">
        <v>394</v>
      </c>
      <c r="B1" s="4" t="s">
        <v>395</v>
      </c>
      <c r="C1" s="4" t="s">
        <v>396</v>
      </c>
      <c r="D1" s="4" t="s">
        <v>397</v>
      </c>
      <c r="E1" s="4" t="s">
        <v>398</v>
      </c>
      <c r="F1" s="5" t="s">
        <v>399</v>
      </c>
    </row>
    <row r="2" spans="1:6" ht="15" thickBot="1">
      <c r="A2" s="6">
        <v>1</v>
      </c>
      <c r="B2" s="1" t="s">
        <v>400</v>
      </c>
      <c r="C2" s="1">
        <v>1</v>
      </c>
      <c r="D2" s="1">
        <v>1</v>
      </c>
      <c r="E2" s="1" t="s">
        <v>401</v>
      </c>
      <c r="F2" s="7">
        <v>18</v>
      </c>
    </row>
    <row r="3" spans="1:6" ht="15" thickBot="1">
      <c r="A3" s="8">
        <v>2</v>
      </c>
      <c r="B3" s="2" t="s">
        <v>402</v>
      </c>
      <c r="C3" s="2">
        <v>1</v>
      </c>
      <c r="D3" s="2">
        <v>1</v>
      </c>
      <c r="E3" s="2" t="s">
        <v>403</v>
      </c>
      <c r="F3" s="9">
        <v>19</v>
      </c>
    </row>
    <row r="4" spans="1:6" ht="15" thickBot="1">
      <c r="A4" s="6">
        <v>3</v>
      </c>
      <c r="B4" s="1" t="s">
        <v>404</v>
      </c>
      <c r="C4" s="1">
        <v>1</v>
      </c>
      <c r="D4" s="1">
        <v>2</v>
      </c>
      <c r="E4" s="1" t="s">
        <v>405</v>
      </c>
      <c r="F4" s="7">
        <v>10</v>
      </c>
    </row>
    <row r="5" spans="1:6" ht="23" thickBot="1">
      <c r="A5" s="8">
        <v>4</v>
      </c>
      <c r="B5" s="2" t="s">
        <v>406</v>
      </c>
      <c r="C5" s="2">
        <v>2</v>
      </c>
      <c r="D5" s="2">
        <v>2</v>
      </c>
      <c r="E5" s="2" t="s">
        <v>407</v>
      </c>
      <c r="F5" s="9">
        <v>22</v>
      </c>
    </row>
    <row r="6" spans="1:6" ht="23" thickBot="1">
      <c r="A6" s="6">
        <v>5</v>
      </c>
      <c r="B6" s="1" t="s">
        <v>408</v>
      </c>
      <c r="C6" s="1">
        <v>2</v>
      </c>
      <c r="D6" s="1">
        <v>2</v>
      </c>
      <c r="E6" s="1" t="s">
        <v>409</v>
      </c>
      <c r="F6" s="7">
        <v>21.35</v>
      </c>
    </row>
    <row r="7" spans="1:6" ht="23" thickBot="1">
      <c r="A7" s="8">
        <v>6</v>
      </c>
      <c r="B7" s="2" t="s">
        <v>410</v>
      </c>
      <c r="C7" s="2">
        <v>3</v>
      </c>
      <c r="D7" s="2">
        <v>2</v>
      </c>
      <c r="E7" s="2" t="s">
        <v>411</v>
      </c>
      <c r="F7" s="9">
        <v>25</v>
      </c>
    </row>
    <row r="8" spans="1:6" ht="23" thickBot="1">
      <c r="A8" s="6">
        <v>7</v>
      </c>
      <c r="B8" s="1" t="s">
        <v>412</v>
      </c>
      <c r="C8" s="1">
        <v>3</v>
      </c>
      <c r="D8" s="1">
        <v>7</v>
      </c>
      <c r="E8" s="1" t="s">
        <v>413</v>
      </c>
      <c r="F8" s="7">
        <v>30</v>
      </c>
    </row>
    <row r="9" spans="1:6" ht="23" thickBot="1">
      <c r="A9" s="8">
        <v>8</v>
      </c>
      <c r="B9" s="2" t="s">
        <v>414</v>
      </c>
      <c r="C9" s="2">
        <v>3</v>
      </c>
      <c r="D9" s="2">
        <v>2</v>
      </c>
      <c r="E9" s="2" t="s">
        <v>415</v>
      </c>
      <c r="F9" s="9">
        <v>40</v>
      </c>
    </row>
    <row r="10" spans="1:6" ht="15" thickBot="1">
      <c r="A10" s="6">
        <v>9</v>
      </c>
      <c r="B10" s="1" t="s">
        <v>416</v>
      </c>
      <c r="C10" s="1">
        <v>4</v>
      </c>
      <c r="D10" s="1">
        <v>6</v>
      </c>
      <c r="E10" s="1" t="s">
        <v>417</v>
      </c>
      <c r="F10" s="7">
        <v>97</v>
      </c>
    </row>
    <row r="11" spans="1:6" ht="15" thickBot="1">
      <c r="A11" s="8">
        <v>10</v>
      </c>
      <c r="B11" s="2" t="s">
        <v>418</v>
      </c>
      <c r="C11" s="2">
        <v>4</v>
      </c>
      <c r="D11" s="2">
        <v>8</v>
      </c>
      <c r="E11" s="2" t="s">
        <v>419</v>
      </c>
      <c r="F11" s="9">
        <v>31</v>
      </c>
    </row>
    <row r="12" spans="1:6" ht="15" thickBot="1">
      <c r="A12" s="6">
        <v>11</v>
      </c>
      <c r="B12" s="1" t="s">
        <v>420</v>
      </c>
      <c r="C12" s="1">
        <v>5</v>
      </c>
      <c r="D12" s="1">
        <v>4</v>
      </c>
      <c r="E12" s="1" t="s">
        <v>421</v>
      </c>
      <c r="F12" s="7">
        <v>21</v>
      </c>
    </row>
    <row r="13" spans="1:6" ht="23" thickBot="1">
      <c r="A13" s="8">
        <v>12</v>
      </c>
      <c r="B13" s="2" t="s">
        <v>422</v>
      </c>
      <c r="C13" s="2">
        <v>5</v>
      </c>
      <c r="D13" s="2">
        <v>4</v>
      </c>
      <c r="E13" s="2" t="s">
        <v>423</v>
      </c>
      <c r="F13" s="9">
        <v>38</v>
      </c>
    </row>
    <row r="14" spans="1:6" ht="15" thickBot="1">
      <c r="A14" s="6">
        <v>13</v>
      </c>
      <c r="B14" s="1" t="s">
        <v>424</v>
      </c>
      <c r="C14" s="1">
        <v>6</v>
      </c>
      <c r="D14" s="1">
        <v>8</v>
      </c>
      <c r="E14" s="1" t="s">
        <v>425</v>
      </c>
      <c r="F14" s="7">
        <v>6</v>
      </c>
    </row>
    <row r="15" spans="1:6" ht="15" thickBot="1">
      <c r="A15" s="8">
        <v>14</v>
      </c>
      <c r="B15" s="2" t="s">
        <v>426</v>
      </c>
      <c r="C15" s="2">
        <v>6</v>
      </c>
      <c r="D15" s="2">
        <v>7</v>
      </c>
      <c r="E15" s="2" t="s">
        <v>427</v>
      </c>
      <c r="F15" s="9">
        <v>23.25</v>
      </c>
    </row>
    <row r="16" spans="1:6" ht="15" thickBot="1">
      <c r="A16" s="6">
        <v>15</v>
      </c>
      <c r="B16" s="1" t="s">
        <v>428</v>
      </c>
      <c r="C16" s="1">
        <v>6</v>
      </c>
      <c r="D16" s="1">
        <v>2</v>
      </c>
      <c r="E16" s="1" t="s">
        <v>429</v>
      </c>
      <c r="F16" s="7">
        <v>15.5</v>
      </c>
    </row>
    <row r="17" spans="1:6" ht="15" thickBot="1">
      <c r="A17" s="8">
        <v>16</v>
      </c>
      <c r="B17" s="2" t="s">
        <v>430</v>
      </c>
      <c r="C17" s="2">
        <v>7</v>
      </c>
      <c r="D17" s="2">
        <v>3</v>
      </c>
      <c r="E17" s="2" t="s">
        <v>431</v>
      </c>
      <c r="F17" s="9">
        <v>17.45</v>
      </c>
    </row>
    <row r="18" spans="1:6" ht="15" thickBot="1">
      <c r="A18" s="6">
        <v>17</v>
      </c>
      <c r="B18" s="1" t="s">
        <v>432</v>
      </c>
      <c r="C18" s="1">
        <v>7</v>
      </c>
      <c r="D18" s="1">
        <v>6</v>
      </c>
      <c r="E18" s="1" t="s">
        <v>433</v>
      </c>
      <c r="F18" s="7">
        <v>39</v>
      </c>
    </row>
    <row r="19" spans="1:6" ht="15" thickBot="1">
      <c r="A19" s="8">
        <v>18</v>
      </c>
      <c r="B19" s="2" t="s">
        <v>434</v>
      </c>
      <c r="C19" s="2">
        <v>7</v>
      </c>
      <c r="D19" s="2">
        <v>8</v>
      </c>
      <c r="E19" s="2" t="s">
        <v>435</v>
      </c>
      <c r="F19" s="9">
        <v>62.5</v>
      </c>
    </row>
    <row r="20" spans="1:6" ht="23" thickBot="1">
      <c r="A20" s="6">
        <v>19</v>
      </c>
      <c r="B20" s="1" t="s">
        <v>436</v>
      </c>
      <c r="C20" s="1">
        <v>8</v>
      </c>
      <c r="D20" s="1">
        <v>3</v>
      </c>
      <c r="E20" s="1" t="s">
        <v>437</v>
      </c>
      <c r="F20" s="7">
        <v>9.1999999999999993</v>
      </c>
    </row>
    <row r="21" spans="1:6" ht="23" thickBot="1">
      <c r="A21" s="8">
        <v>20</v>
      </c>
      <c r="B21" s="2" t="s">
        <v>438</v>
      </c>
      <c r="C21" s="2">
        <v>8</v>
      </c>
      <c r="D21" s="2">
        <v>3</v>
      </c>
      <c r="E21" s="2" t="s">
        <v>439</v>
      </c>
      <c r="F21" s="9">
        <v>81</v>
      </c>
    </row>
    <row r="22" spans="1:6" ht="23" thickBot="1">
      <c r="A22" s="6">
        <v>21</v>
      </c>
      <c r="B22" s="1" t="s">
        <v>440</v>
      </c>
      <c r="C22" s="1">
        <v>8</v>
      </c>
      <c r="D22" s="1">
        <v>3</v>
      </c>
      <c r="E22" s="1" t="s">
        <v>441</v>
      </c>
      <c r="F22" s="7">
        <v>10</v>
      </c>
    </row>
    <row r="23" spans="1:6" ht="23" thickBot="1">
      <c r="A23" s="8">
        <v>22</v>
      </c>
      <c r="B23" s="2" t="s">
        <v>442</v>
      </c>
      <c r="C23" s="2">
        <v>9</v>
      </c>
      <c r="D23" s="2">
        <v>5</v>
      </c>
      <c r="E23" s="2" t="s">
        <v>443</v>
      </c>
      <c r="F23" s="9">
        <v>21</v>
      </c>
    </row>
    <row r="24" spans="1:6" ht="15" thickBot="1">
      <c r="A24" s="6">
        <v>23</v>
      </c>
      <c r="B24" s="1" t="s">
        <v>444</v>
      </c>
      <c r="C24" s="1">
        <v>9</v>
      </c>
      <c r="D24" s="1">
        <v>5</v>
      </c>
      <c r="E24" s="1" t="s">
        <v>445</v>
      </c>
      <c r="F24" s="7">
        <v>9</v>
      </c>
    </row>
    <row r="25" spans="1:6" ht="15" thickBot="1">
      <c r="A25" s="8">
        <v>24</v>
      </c>
      <c r="B25" s="2" t="s">
        <v>446</v>
      </c>
      <c r="C25" s="2">
        <v>10</v>
      </c>
      <c r="D25" s="2">
        <v>1</v>
      </c>
      <c r="E25" s="2" t="s">
        <v>447</v>
      </c>
      <c r="F25" s="9">
        <v>4.5</v>
      </c>
    </row>
    <row r="26" spans="1:6" ht="23" thickBot="1">
      <c r="A26" s="6">
        <v>25</v>
      </c>
      <c r="B26" s="1" t="s">
        <v>448</v>
      </c>
      <c r="C26" s="1">
        <v>11</v>
      </c>
      <c r="D26" s="1">
        <v>3</v>
      </c>
      <c r="E26" s="1" t="s">
        <v>449</v>
      </c>
      <c r="F26" s="7">
        <v>14</v>
      </c>
    </row>
    <row r="27" spans="1:6" ht="23" thickBot="1">
      <c r="A27" s="8">
        <v>26</v>
      </c>
      <c r="B27" s="2" t="s">
        <v>450</v>
      </c>
      <c r="C27" s="2">
        <v>11</v>
      </c>
      <c r="D27" s="2">
        <v>3</v>
      </c>
      <c r="E27" s="2" t="s">
        <v>451</v>
      </c>
      <c r="F27" s="9">
        <v>31.23</v>
      </c>
    </row>
    <row r="28" spans="1:6" ht="23" thickBot="1">
      <c r="A28" s="6">
        <v>27</v>
      </c>
      <c r="B28" s="1" t="s">
        <v>452</v>
      </c>
      <c r="C28" s="1">
        <v>11</v>
      </c>
      <c r="D28" s="1">
        <v>3</v>
      </c>
      <c r="E28" s="1" t="s">
        <v>453</v>
      </c>
      <c r="F28" s="7">
        <v>43.9</v>
      </c>
    </row>
    <row r="29" spans="1:6" ht="15" thickBot="1">
      <c r="A29" s="8">
        <v>28</v>
      </c>
      <c r="B29" s="2" t="s">
        <v>454</v>
      </c>
      <c r="C29" s="2">
        <v>12</v>
      </c>
      <c r="D29" s="2">
        <v>7</v>
      </c>
      <c r="E29" s="2" t="s">
        <v>455</v>
      </c>
      <c r="F29" s="9">
        <v>45.6</v>
      </c>
    </row>
    <row r="30" spans="1:6" ht="23" thickBot="1">
      <c r="A30" s="6">
        <v>29</v>
      </c>
      <c r="B30" s="1" t="s">
        <v>456</v>
      </c>
      <c r="C30" s="1">
        <v>12</v>
      </c>
      <c r="D30" s="1">
        <v>6</v>
      </c>
      <c r="E30" s="1" t="s">
        <v>457</v>
      </c>
      <c r="F30" s="7">
        <v>123.79</v>
      </c>
    </row>
    <row r="31" spans="1:6" ht="23" thickBot="1">
      <c r="A31" s="8">
        <v>30</v>
      </c>
      <c r="B31" s="2" t="s">
        <v>458</v>
      </c>
      <c r="C31" s="2">
        <v>13</v>
      </c>
      <c r="D31" s="2">
        <v>8</v>
      </c>
      <c r="E31" s="2" t="s">
        <v>459</v>
      </c>
      <c r="F31" s="9">
        <v>25.89</v>
      </c>
    </row>
    <row r="32" spans="1:6" ht="15" thickBot="1">
      <c r="A32" s="6">
        <v>31</v>
      </c>
      <c r="B32" s="1" t="s">
        <v>460</v>
      </c>
      <c r="C32" s="1">
        <v>14</v>
      </c>
      <c r="D32" s="1">
        <v>4</v>
      </c>
      <c r="E32" s="1" t="s">
        <v>461</v>
      </c>
      <c r="F32" s="7">
        <v>12.5</v>
      </c>
    </row>
    <row r="33" spans="1:6" ht="15" thickBot="1">
      <c r="A33" s="8">
        <v>32</v>
      </c>
      <c r="B33" s="2" t="s">
        <v>462</v>
      </c>
      <c r="C33" s="2">
        <v>14</v>
      </c>
      <c r="D33" s="2">
        <v>4</v>
      </c>
      <c r="E33" s="2" t="s">
        <v>463</v>
      </c>
      <c r="F33" s="9">
        <v>32</v>
      </c>
    </row>
    <row r="34" spans="1:6" ht="15" thickBot="1">
      <c r="A34" s="6">
        <v>33</v>
      </c>
      <c r="B34" s="1" t="s">
        <v>464</v>
      </c>
      <c r="C34" s="1">
        <v>15</v>
      </c>
      <c r="D34" s="1">
        <v>4</v>
      </c>
      <c r="E34" s="1" t="s">
        <v>465</v>
      </c>
      <c r="F34" s="7">
        <v>2.5</v>
      </c>
    </row>
    <row r="35" spans="1:6" ht="15" thickBot="1">
      <c r="A35" s="8">
        <v>34</v>
      </c>
      <c r="B35" s="2" t="s">
        <v>466</v>
      </c>
      <c r="C35" s="2">
        <v>16</v>
      </c>
      <c r="D35" s="2">
        <v>1</v>
      </c>
      <c r="E35" s="2" t="s">
        <v>403</v>
      </c>
      <c r="F35" s="9">
        <v>14</v>
      </c>
    </row>
    <row r="36" spans="1:6" ht="15" thickBot="1">
      <c r="A36" s="6">
        <v>35</v>
      </c>
      <c r="B36" s="1" t="s">
        <v>467</v>
      </c>
      <c r="C36" s="1">
        <v>16</v>
      </c>
      <c r="D36" s="1">
        <v>1</v>
      </c>
      <c r="E36" s="1" t="s">
        <v>403</v>
      </c>
      <c r="F36" s="7">
        <v>18</v>
      </c>
    </row>
    <row r="37" spans="1:6" ht="15" thickBot="1">
      <c r="A37" s="8">
        <v>36</v>
      </c>
      <c r="B37" s="2" t="s">
        <v>468</v>
      </c>
      <c r="C37" s="2">
        <v>17</v>
      </c>
      <c r="D37" s="2">
        <v>8</v>
      </c>
      <c r="E37" s="2" t="s">
        <v>469</v>
      </c>
      <c r="F37" s="9">
        <v>19</v>
      </c>
    </row>
    <row r="38" spans="1:6" ht="15" thickBot="1">
      <c r="A38" s="6">
        <v>37</v>
      </c>
      <c r="B38" s="1" t="s">
        <v>470</v>
      </c>
      <c r="C38" s="1">
        <v>17</v>
      </c>
      <c r="D38" s="1">
        <v>8</v>
      </c>
      <c r="E38" s="1" t="s">
        <v>471</v>
      </c>
      <c r="F38" s="7">
        <v>26</v>
      </c>
    </row>
    <row r="39" spans="1:6" ht="15" thickBot="1">
      <c r="A39" s="8">
        <v>38</v>
      </c>
      <c r="B39" s="2" t="s">
        <v>472</v>
      </c>
      <c r="C39" s="2">
        <v>18</v>
      </c>
      <c r="D39" s="2">
        <v>1</v>
      </c>
      <c r="E39" s="2" t="s">
        <v>473</v>
      </c>
      <c r="F39" s="9">
        <v>263.5</v>
      </c>
    </row>
    <row r="40" spans="1:6" ht="15" thickBot="1">
      <c r="A40" s="6">
        <v>39</v>
      </c>
      <c r="B40" s="1" t="s">
        <v>474</v>
      </c>
      <c r="C40" s="1">
        <v>18</v>
      </c>
      <c r="D40" s="1">
        <v>1</v>
      </c>
      <c r="E40" s="1" t="s">
        <v>475</v>
      </c>
      <c r="F40" s="7">
        <v>18</v>
      </c>
    </row>
    <row r="41" spans="1:6" ht="15" thickBot="1">
      <c r="A41" s="8">
        <v>40</v>
      </c>
      <c r="B41" s="2" t="s">
        <v>476</v>
      </c>
      <c r="C41" s="2">
        <v>19</v>
      </c>
      <c r="D41" s="2">
        <v>8</v>
      </c>
      <c r="E41" s="2" t="s">
        <v>477</v>
      </c>
      <c r="F41" s="9">
        <v>18.399999999999999</v>
      </c>
    </row>
    <row r="42" spans="1:6" ht="23" thickBot="1">
      <c r="A42" s="6">
        <v>41</v>
      </c>
      <c r="B42" s="1" t="s">
        <v>478</v>
      </c>
      <c r="C42" s="1">
        <v>19</v>
      </c>
      <c r="D42" s="1">
        <v>8</v>
      </c>
      <c r="E42" s="1" t="s">
        <v>479</v>
      </c>
      <c r="F42" s="7">
        <v>9.65</v>
      </c>
    </row>
    <row r="43" spans="1:6" ht="23" thickBot="1">
      <c r="A43" s="8">
        <v>42</v>
      </c>
      <c r="B43" s="2" t="s">
        <v>480</v>
      </c>
      <c r="C43" s="2">
        <v>20</v>
      </c>
      <c r="D43" s="2">
        <v>5</v>
      </c>
      <c r="E43" s="2" t="s">
        <v>481</v>
      </c>
      <c r="F43" s="9">
        <v>14</v>
      </c>
    </row>
    <row r="44" spans="1:6" ht="15" thickBot="1">
      <c r="A44" s="6">
        <v>43</v>
      </c>
      <c r="B44" s="1" t="s">
        <v>482</v>
      </c>
      <c r="C44" s="1">
        <v>20</v>
      </c>
      <c r="D44" s="1">
        <v>1</v>
      </c>
      <c r="E44" s="1" t="s">
        <v>483</v>
      </c>
      <c r="F44" s="7">
        <v>46</v>
      </c>
    </row>
    <row r="45" spans="1:6" ht="15" thickBot="1">
      <c r="A45" s="8">
        <v>44</v>
      </c>
      <c r="B45" s="2" t="s">
        <v>484</v>
      </c>
      <c r="C45" s="2">
        <v>20</v>
      </c>
      <c r="D45" s="2">
        <v>2</v>
      </c>
      <c r="E45" s="2" t="s">
        <v>485</v>
      </c>
      <c r="F45" s="9">
        <v>19.45</v>
      </c>
    </row>
    <row r="46" spans="1:6" ht="15" thickBot="1">
      <c r="A46" s="6">
        <v>45</v>
      </c>
      <c r="B46" s="1" t="s">
        <v>486</v>
      </c>
      <c r="C46" s="1">
        <v>21</v>
      </c>
      <c r="D46" s="1">
        <v>8</v>
      </c>
      <c r="E46" s="1" t="s">
        <v>487</v>
      </c>
      <c r="F46" s="7">
        <v>9.5</v>
      </c>
    </row>
    <row r="47" spans="1:6" ht="15" thickBot="1">
      <c r="A47" s="8">
        <v>46</v>
      </c>
      <c r="B47" s="2" t="s">
        <v>488</v>
      </c>
      <c r="C47" s="2">
        <v>21</v>
      </c>
      <c r="D47" s="2">
        <v>8</v>
      </c>
      <c r="E47" s="2" t="s">
        <v>489</v>
      </c>
      <c r="F47" s="9">
        <v>12</v>
      </c>
    </row>
    <row r="48" spans="1:6" ht="15" thickBot="1">
      <c r="A48" s="6">
        <v>47</v>
      </c>
      <c r="B48" s="1" t="s">
        <v>490</v>
      </c>
      <c r="C48" s="1">
        <v>22</v>
      </c>
      <c r="D48" s="1">
        <v>3</v>
      </c>
      <c r="E48" s="1" t="s">
        <v>491</v>
      </c>
      <c r="F48" s="7">
        <v>9.5</v>
      </c>
    </row>
    <row r="49" spans="1:6" ht="15" thickBot="1">
      <c r="A49" s="8">
        <v>48</v>
      </c>
      <c r="B49" s="2" t="s">
        <v>492</v>
      </c>
      <c r="C49" s="2">
        <v>22</v>
      </c>
      <c r="D49" s="2">
        <v>3</v>
      </c>
      <c r="E49" s="2" t="s">
        <v>493</v>
      </c>
      <c r="F49" s="9">
        <v>12.75</v>
      </c>
    </row>
    <row r="50" spans="1:6" ht="15" thickBot="1">
      <c r="A50" s="6">
        <v>49</v>
      </c>
      <c r="B50" s="1" t="s">
        <v>494</v>
      </c>
      <c r="C50" s="1">
        <v>23</v>
      </c>
      <c r="D50" s="1">
        <v>3</v>
      </c>
      <c r="E50" s="1" t="s">
        <v>495</v>
      </c>
      <c r="F50" s="7">
        <v>20</v>
      </c>
    </row>
    <row r="51" spans="1:6" ht="15" thickBot="1">
      <c r="A51" s="8">
        <v>50</v>
      </c>
      <c r="B51" s="2" t="s">
        <v>496</v>
      </c>
      <c r="C51" s="2">
        <v>23</v>
      </c>
      <c r="D51" s="2">
        <v>3</v>
      </c>
      <c r="E51" s="2" t="s">
        <v>497</v>
      </c>
      <c r="F51" s="9">
        <v>16.25</v>
      </c>
    </row>
    <row r="52" spans="1:6" ht="23" thickBot="1">
      <c r="A52" s="6">
        <v>51</v>
      </c>
      <c r="B52" s="1" t="s">
        <v>498</v>
      </c>
      <c r="C52" s="1">
        <v>24</v>
      </c>
      <c r="D52" s="1">
        <v>7</v>
      </c>
      <c r="E52" s="1" t="s">
        <v>499</v>
      </c>
      <c r="F52" s="7">
        <v>53</v>
      </c>
    </row>
    <row r="53" spans="1:6" ht="15" thickBot="1">
      <c r="A53" s="8">
        <v>52</v>
      </c>
      <c r="B53" s="2" t="s">
        <v>500</v>
      </c>
      <c r="C53" s="2">
        <v>24</v>
      </c>
      <c r="D53" s="2">
        <v>5</v>
      </c>
      <c r="E53" s="2" t="s">
        <v>501</v>
      </c>
      <c r="F53" s="9">
        <v>7</v>
      </c>
    </row>
    <row r="54" spans="1:6" ht="15" thickBot="1">
      <c r="A54" s="6">
        <v>53</v>
      </c>
      <c r="B54" s="1" t="s">
        <v>502</v>
      </c>
      <c r="C54" s="1">
        <v>24</v>
      </c>
      <c r="D54" s="1">
        <v>6</v>
      </c>
      <c r="E54" s="1" t="s">
        <v>503</v>
      </c>
      <c r="F54" s="7">
        <v>32.799999999999997</v>
      </c>
    </row>
    <row r="55" spans="1:6" ht="15" thickBot="1">
      <c r="A55" s="8">
        <v>54</v>
      </c>
      <c r="B55" s="2" t="s">
        <v>504</v>
      </c>
      <c r="C55" s="2">
        <v>25</v>
      </c>
      <c r="D55" s="2">
        <v>6</v>
      </c>
      <c r="E55" s="2" t="s">
        <v>505</v>
      </c>
      <c r="F55" s="9">
        <v>7.45</v>
      </c>
    </row>
    <row r="56" spans="1:6" ht="15" thickBot="1">
      <c r="A56" s="6">
        <v>55</v>
      </c>
      <c r="B56" s="1" t="s">
        <v>506</v>
      </c>
      <c r="C56" s="1">
        <v>25</v>
      </c>
      <c r="D56" s="1">
        <v>6</v>
      </c>
      <c r="E56" s="1" t="s">
        <v>507</v>
      </c>
      <c r="F56" s="7">
        <v>24</v>
      </c>
    </row>
    <row r="57" spans="1:6" ht="23" thickBot="1">
      <c r="A57" s="8">
        <v>56</v>
      </c>
      <c r="B57" s="2" t="s">
        <v>508</v>
      </c>
      <c r="C57" s="2">
        <v>26</v>
      </c>
      <c r="D57" s="2">
        <v>5</v>
      </c>
      <c r="E57" s="2" t="s">
        <v>509</v>
      </c>
      <c r="F57" s="9">
        <v>38</v>
      </c>
    </row>
    <row r="58" spans="1:6" ht="15" thickBot="1">
      <c r="A58" s="6">
        <v>57</v>
      </c>
      <c r="B58" s="1" t="s">
        <v>510</v>
      </c>
      <c r="C58" s="1">
        <v>26</v>
      </c>
      <c r="D58" s="1">
        <v>5</v>
      </c>
      <c r="E58" s="1" t="s">
        <v>509</v>
      </c>
      <c r="F58" s="7">
        <v>19.5</v>
      </c>
    </row>
    <row r="59" spans="1:6" ht="23" thickBot="1">
      <c r="A59" s="8">
        <v>58</v>
      </c>
      <c r="B59" s="2" t="s">
        <v>511</v>
      </c>
      <c r="C59" s="2">
        <v>27</v>
      </c>
      <c r="D59" s="2">
        <v>8</v>
      </c>
      <c r="E59" s="2" t="s">
        <v>512</v>
      </c>
      <c r="F59" s="9">
        <v>13.25</v>
      </c>
    </row>
    <row r="60" spans="1:6" ht="23" thickBot="1">
      <c r="A60" s="6">
        <v>59</v>
      </c>
      <c r="B60" s="1" t="s">
        <v>513</v>
      </c>
      <c r="C60" s="1">
        <v>28</v>
      </c>
      <c r="D60" s="1">
        <v>4</v>
      </c>
      <c r="E60" s="1" t="s">
        <v>514</v>
      </c>
      <c r="F60" s="7">
        <v>55</v>
      </c>
    </row>
    <row r="61" spans="1:6" ht="15" thickBot="1">
      <c r="A61" s="8">
        <v>60</v>
      </c>
      <c r="B61" s="2" t="s">
        <v>515</v>
      </c>
      <c r="C61" s="2">
        <v>28</v>
      </c>
      <c r="D61" s="2">
        <v>4</v>
      </c>
      <c r="E61" s="2" t="s">
        <v>516</v>
      </c>
      <c r="F61" s="9">
        <v>34</v>
      </c>
    </row>
    <row r="62" spans="1:6" ht="15" thickBot="1">
      <c r="A62" s="6">
        <v>61</v>
      </c>
      <c r="B62" s="1" t="s">
        <v>517</v>
      </c>
      <c r="C62" s="1">
        <v>29</v>
      </c>
      <c r="D62" s="1">
        <v>2</v>
      </c>
      <c r="E62" s="1" t="s">
        <v>518</v>
      </c>
      <c r="F62" s="7">
        <v>28.5</v>
      </c>
    </row>
    <row r="63" spans="1:6" ht="15" thickBot="1">
      <c r="A63" s="8">
        <v>62</v>
      </c>
      <c r="B63" s="2" t="s">
        <v>519</v>
      </c>
      <c r="C63" s="2">
        <v>29</v>
      </c>
      <c r="D63" s="2">
        <v>3</v>
      </c>
      <c r="E63" s="2" t="s">
        <v>520</v>
      </c>
      <c r="F63" s="9">
        <v>49.3</v>
      </c>
    </row>
    <row r="64" spans="1:6" ht="15" thickBot="1">
      <c r="A64" s="6">
        <v>63</v>
      </c>
      <c r="B64" s="1" t="s">
        <v>521</v>
      </c>
      <c r="C64" s="1">
        <v>7</v>
      </c>
      <c r="D64" s="1">
        <v>2</v>
      </c>
      <c r="E64" s="1" t="s">
        <v>522</v>
      </c>
      <c r="F64" s="7">
        <v>43.9</v>
      </c>
    </row>
    <row r="65" spans="1:6" ht="23" thickBot="1">
      <c r="A65" s="8">
        <v>64</v>
      </c>
      <c r="B65" s="2" t="s">
        <v>523</v>
      </c>
      <c r="C65" s="2">
        <v>12</v>
      </c>
      <c r="D65" s="2">
        <v>5</v>
      </c>
      <c r="E65" s="2" t="s">
        <v>524</v>
      </c>
      <c r="F65" s="9">
        <v>33.25</v>
      </c>
    </row>
    <row r="66" spans="1:6" ht="23" thickBot="1">
      <c r="A66" s="6">
        <v>65</v>
      </c>
      <c r="B66" s="1" t="s">
        <v>525</v>
      </c>
      <c r="C66" s="1">
        <v>2</v>
      </c>
      <c r="D66" s="1">
        <v>2</v>
      </c>
      <c r="E66" s="1" t="s">
        <v>526</v>
      </c>
      <c r="F66" s="7">
        <v>21.05</v>
      </c>
    </row>
    <row r="67" spans="1:6" ht="23" thickBot="1">
      <c r="A67" s="8">
        <v>66</v>
      </c>
      <c r="B67" s="2" t="s">
        <v>527</v>
      </c>
      <c r="C67" s="2">
        <v>2</v>
      </c>
      <c r="D67" s="2">
        <v>2</v>
      </c>
      <c r="E67" s="2" t="s">
        <v>528</v>
      </c>
      <c r="F67" s="9">
        <v>17</v>
      </c>
    </row>
    <row r="68" spans="1:6" ht="23" thickBot="1">
      <c r="A68" s="6">
        <v>67</v>
      </c>
      <c r="B68" s="1" t="s">
        <v>529</v>
      </c>
      <c r="C68" s="1">
        <v>16</v>
      </c>
      <c r="D68" s="1">
        <v>1</v>
      </c>
      <c r="E68" s="1" t="s">
        <v>403</v>
      </c>
      <c r="F68" s="7">
        <v>14</v>
      </c>
    </row>
    <row r="69" spans="1:6" ht="23" thickBot="1">
      <c r="A69" s="8">
        <v>68</v>
      </c>
      <c r="B69" s="2" t="s">
        <v>530</v>
      </c>
      <c r="C69" s="2">
        <v>8</v>
      </c>
      <c r="D69" s="2">
        <v>3</v>
      </c>
      <c r="E69" s="2" t="s">
        <v>531</v>
      </c>
      <c r="F69" s="9">
        <v>12.5</v>
      </c>
    </row>
    <row r="70" spans="1:6" ht="15" thickBot="1">
      <c r="A70" s="6">
        <v>69</v>
      </c>
      <c r="B70" s="1" t="s">
        <v>532</v>
      </c>
      <c r="C70" s="1">
        <v>15</v>
      </c>
      <c r="D70" s="1">
        <v>4</v>
      </c>
      <c r="E70" s="1" t="s">
        <v>533</v>
      </c>
      <c r="F70" s="7">
        <v>36</v>
      </c>
    </row>
    <row r="71" spans="1:6" ht="15" thickBot="1">
      <c r="A71" s="8">
        <v>70</v>
      </c>
      <c r="B71" s="2" t="s">
        <v>534</v>
      </c>
      <c r="C71" s="2">
        <v>7</v>
      </c>
      <c r="D71" s="2">
        <v>1</v>
      </c>
      <c r="E71" s="2" t="s">
        <v>535</v>
      </c>
      <c r="F71" s="9">
        <v>15</v>
      </c>
    </row>
    <row r="72" spans="1:6" ht="15" thickBot="1">
      <c r="A72" s="6">
        <v>71</v>
      </c>
      <c r="B72" s="1" t="s">
        <v>536</v>
      </c>
      <c r="C72" s="1">
        <v>15</v>
      </c>
      <c r="D72" s="1">
        <v>4</v>
      </c>
      <c r="E72" s="1" t="s">
        <v>423</v>
      </c>
      <c r="F72" s="7">
        <v>21.5</v>
      </c>
    </row>
    <row r="73" spans="1:6" ht="23" thickBot="1">
      <c r="A73" s="8">
        <v>72</v>
      </c>
      <c r="B73" s="2" t="s">
        <v>537</v>
      </c>
      <c r="C73" s="2">
        <v>14</v>
      </c>
      <c r="D73" s="2">
        <v>4</v>
      </c>
      <c r="E73" s="2" t="s">
        <v>463</v>
      </c>
      <c r="F73" s="9">
        <v>34.799999999999997</v>
      </c>
    </row>
    <row r="74" spans="1:6" ht="15" thickBot="1">
      <c r="A74" s="6">
        <v>73</v>
      </c>
      <c r="B74" s="1" t="s">
        <v>538</v>
      </c>
      <c r="C74" s="1">
        <v>17</v>
      </c>
      <c r="D74" s="1">
        <v>8</v>
      </c>
      <c r="E74" s="1" t="s">
        <v>539</v>
      </c>
      <c r="F74" s="7">
        <v>15</v>
      </c>
    </row>
    <row r="75" spans="1:6" ht="15" thickBot="1">
      <c r="A75" s="8">
        <v>74</v>
      </c>
      <c r="B75" s="2" t="s">
        <v>540</v>
      </c>
      <c r="C75" s="2">
        <v>4</v>
      </c>
      <c r="D75" s="2">
        <v>7</v>
      </c>
      <c r="E75" s="2" t="s">
        <v>514</v>
      </c>
      <c r="F75" s="9">
        <v>10</v>
      </c>
    </row>
    <row r="76" spans="1:6" ht="23" thickBot="1">
      <c r="A76" s="6">
        <v>75</v>
      </c>
      <c r="B76" s="1" t="s">
        <v>541</v>
      </c>
      <c r="C76" s="1">
        <v>12</v>
      </c>
      <c r="D76" s="1">
        <v>1</v>
      </c>
      <c r="E76" s="1" t="s">
        <v>542</v>
      </c>
      <c r="F76" s="7">
        <v>7.75</v>
      </c>
    </row>
    <row r="77" spans="1:6" ht="15" thickBot="1">
      <c r="A77" s="8">
        <v>76</v>
      </c>
      <c r="B77" s="2" t="s">
        <v>543</v>
      </c>
      <c r="C77" s="2">
        <v>23</v>
      </c>
      <c r="D77" s="2">
        <v>1</v>
      </c>
      <c r="E77" s="2" t="s">
        <v>544</v>
      </c>
      <c r="F77" s="9">
        <v>18</v>
      </c>
    </row>
    <row r="78" spans="1:6" ht="23" thickBot="1">
      <c r="A78" s="10">
        <v>77</v>
      </c>
      <c r="B78" s="11" t="s">
        <v>545</v>
      </c>
      <c r="C78" s="11">
        <v>12</v>
      </c>
      <c r="D78" s="11">
        <v>2</v>
      </c>
      <c r="E78" s="11" t="s">
        <v>546</v>
      </c>
      <c r="F78" s="12">
        <v>13</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9"/>
  <dimension ref="A1:H30"/>
  <sheetViews>
    <sheetView workbookViewId="0">
      <selection activeCell="J20" sqref="J20"/>
    </sheetView>
  </sheetViews>
  <sheetFormatPr baseColWidth="10" defaultRowHeight="14"/>
  <sheetData>
    <row r="1" spans="1:8" ht="15" thickBot="1">
      <c r="A1" s="3" t="s">
        <v>396</v>
      </c>
      <c r="B1" s="4" t="s">
        <v>551</v>
      </c>
      <c r="C1" s="4" t="s">
        <v>2</v>
      </c>
      <c r="D1" s="4" t="s">
        <v>3</v>
      </c>
      <c r="E1" s="4" t="s">
        <v>4</v>
      </c>
      <c r="F1" s="4" t="s">
        <v>5</v>
      </c>
      <c r="G1" s="4" t="s">
        <v>6</v>
      </c>
      <c r="H1" s="5" t="s">
        <v>552</v>
      </c>
    </row>
    <row r="2" spans="1:8" ht="15" thickBot="1">
      <c r="A2" s="6">
        <v>1</v>
      </c>
      <c r="B2" s="1" t="s">
        <v>553</v>
      </c>
      <c r="C2" s="1" t="s">
        <v>554</v>
      </c>
      <c r="D2" s="1" t="s">
        <v>555</v>
      </c>
      <c r="E2" s="1" t="s">
        <v>556</v>
      </c>
      <c r="F2" s="1" t="s">
        <v>557</v>
      </c>
      <c r="G2" s="1" t="s">
        <v>25</v>
      </c>
      <c r="H2" s="7" t="s">
        <v>558</v>
      </c>
    </row>
    <row r="3" spans="1:8" ht="23" thickBot="1">
      <c r="A3" s="8">
        <v>2</v>
      </c>
      <c r="B3" s="2" t="s">
        <v>559</v>
      </c>
      <c r="C3" s="2" t="s">
        <v>560</v>
      </c>
      <c r="D3" s="2" t="s">
        <v>561</v>
      </c>
      <c r="E3" s="2" t="s">
        <v>562</v>
      </c>
      <c r="F3" s="2">
        <v>70117</v>
      </c>
      <c r="G3" s="2" t="s">
        <v>150</v>
      </c>
      <c r="H3" s="9" t="s">
        <v>563</v>
      </c>
    </row>
    <row r="4" spans="1:8" ht="23" thickBot="1">
      <c r="A4" s="6">
        <v>3</v>
      </c>
      <c r="B4" s="1" t="s">
        <v>564</v>
      </c>
      <c r="C4" s="1" t="s">
        <v>565</v>
      </c>
      <c r="D4" s="1" t="s">
        <v>566</v>
      </c>
      <c r="E4" s="1" t="s">
        <v>567</v>
      </c>
      <c r="F4" s="1">
        <v>48104</v>
      </c>
      <c r="G4" s="1" t="s">
        <v>150</v>
      </c>
      <c r="H4" s="7" t="s">
        <v>568</v>
      </c>
    </row>
    <row r="5" spans="1:8" ht="23" thickBot="1">
      <c r="A5" s="8">
        <v>4</v>
      </c>
      <c r="B5" s="2" t="s">
        <v>569</v>
      </c>
      <c r="C5" s="2" t="s">
        <v>570</v>
      </c>
      <c r="D5" s="2" t="s">
        <v>571</v>
      </c>
      <c r="E5" s="2" t="s">
        <v>572</v>
      </c>
      <c r="F5" s="2">
        <v>100</v>
      </c>
      <c r="G5" s="2" t="s">
        <v>573</v>
      </c>
      <c r="H5" s="9" t="s">
        <v>574</v>
      </c>
    </row>
    <row r="6" spans="1:8" ht="23" thickBot="1">
      <c r="A6" s="6">
        <v>5</v>
      </c>
      <c r="B6" s="1" t="s">
        <v>575</v>
      </c>
      <c r="C6" s="1" t="s">
        <v>576</v>
      </c>
      <c r="D6" s="1" t="s">
        <v>577</v>
      </c>
      <c r="E6" s="1" t="s">
        <v>578</v>
      </c>
      <c r="F6" s="1">
        <v>33007</v>
      </c>
      <c r="G6" s="1" t="s">
        <v>45</v>
      </c>
      <c r="H6" s="7" t="s">
        <v>579</v>
      </c>
    </row>
    <row r="7" spans="1:8" ht="23" thickBot="1">
      <c r="A7" s="8">
        <v>6</v>
      </c>
      <c r="B7" s="2" t="s">
        <v>580</v>
      </c>
      <c r="C7" s="2" t="s">
        <v>581</v>
      </c>
      <c r="D7" s="2" t="s">
        <v>582</v>
      </c>
      <c r="E7" s="2" t="s">
        <v>583</v>
      </c>
      <c r="F7" s="2">
        <v>545</v>
      </c>
      <c r="G7" s="2" t="s">
        <v>573</v>
      </c>
      <c r="H7" s="9" t="s">
        <v>584</v>
      </c>
    </row>
    <row r="8" spans="1:8" ht="23" thickBot="1">
      <c r="A8" s="6">
        <v>7</v>
      </c>
      <c r="B8" s="1" t="s">
        <v>585</v>
      </c>
      <c r="C8" s="1" t="s">
        <v>586</v>
      </c>
      <c r="D8" s="1" t="s">
        <v>587</v>
      </c>
      <c r="E8" s="1" t="s">
        <v>588</v>
      </c>
      <c r="F8" s="1">
        <v>3058</v>
      </c>
      <c r="G8" s="1" t="s">
        <v>589</v>
      </c>
      <c r="H8" s="7" t="s">
        <v>590</v>
      </c>
    </row>
    <row r="9" spans="1:8" ht="23" thickBot="1">
      <c r="A9" s="8">
        <v>8</v>
      </c>
      <c r="B9" s="2" t="s">
        <v>591</v>
      </c>
      <c r="C9" s="2" t="s">
        <v>592</v>
      </c>
      <c r="D9" s="2" t="s">
        <v>593</v>
      </c>
      <c r="E9" s="2" t="s">
        <v>594</v>
      </c>
      <c r="F9" s="2" t="s">
        <v>595</v>
      </c>
      <c r="G9" s="2" t="s">
        <v>25</v>
      </c>
      <c r="H9" s="9" t="s">
        <v>596</v>
      </c>
    </row>
    <row r="10" spans="1:8" ht="15" thickBot="1">
      <c r="A10" s="6">
        <v>9</v>
      </c>
      <c r="B10" s="1" t="s">
        <v>597</v>
      </c>
      <c r="C10" s="1" t="s">
        <v>598</v>
      </c>
      <c r="D10" s="1" t="s">
        <v>599</v>
      </c>
      <c r="E10" s="1" t="s">
        <v>600</v>
      </c>
      <c r="F10" s="1" t="s">
        <v>601</v>
      </c>
      <c r="G10" s="1" t="s">
        <v>31</v>
      </c>
      <c r="H10" s="7" t="s">
        <v>602</v>
      </c>
    </row>
    <row r="11" spans="1:8" ht="23" thickBot="1">
      <c r="A11" s="8">
        <v>10</v>
      </c>
      <c r="B11" s="2" t="s">
        <v>603</v>
      </c>
      <c r="C11" s="2" t="s">
        <v>604</v>
      </c>
      <c r="D11" s="2" t="s">
        <v>605</v>
      </c>
      <c r="E11" s="2" t="s">
        <v>76</v>
      </c>
      <c r="F11" s="2">
        <v>5442</v>
      </c>
      <c r="G11" s="2" t="s">
        <v>78</v>
      </c>
      <c r="H11" s="9" t="s">
        <v>606</v>
      </c>
    </row>
    <row r="12" spans="1:8" ht="23" thickBot="1">
      <c r="A12" s="6">
        <v>11</v>
      </c>
      <c r="B12" s="1" t="s">
        <v>607</v>
      </c>
      <c r="C12" s="1" t="s">
        <v>608</v>
      </c>
      <c r="D12" s="1" t="s">
        <v>609</v>
      </c>
      <c r="E12" s="1" t="s">
        <v>10</v>
      </c>
      <c r="F12" s="1">
        <v>10785</v>
      </c>
      <c r="G12" s="1" t="s">
        <v>11</v>
      </c>
      <c r="H12" s="7" t="s">
        <v>610</v>
      </c>
    </row>
    <row r="13" spans="1:8" ht="34" thickBot="1">
      <c r="A13" s="8">
        <v>12</v>
      </c>
      <c r="B13" s="2" t="s">
        <v>611</v>
      </c>
      <c r="C13" s="2" t="s">
        <v>612</v>
      </c>
      <c r="D13" s="2" t="s">
        <v>613</v>
      </c>
      <c r="E13" s="2" t="s">
        <v>614</v>
      </c>
      <c r="F13" s="2">
        <v>60439</v>
      </c>
      <c r="G13" s="2" t="s">
        <v>11</v>
      </c>
      <c r="H13" s="9" t="s">
        <v>615</v>
      </c>
    </row>
    <row r="14" spans="1:8" ht="34" thickBot="1">
      <c r="A14" s="6">
        <v>13</v>
      </c>
      <c r="B14" s="1" t="s">
        <v>616</v>
      </c>
      <c r="C14" s="1" t="s">
        <v>617</v>
      </c>
      <c r="D14" s="1" t="s">
        <v>618</v>
      </c>
      <c r="E14" s="1" t="s">
        <v>619</v>
      </c>
      <c r="F14" s="1">
        <v>27478</v>
      </c>
      <c r="G14" s="1" t="s">
        <v>11</v>
      </c>
      <c r="H14" s="7" t="s">
        <v>620</v>
      </c>
    </row>
    <row r="15" spans="1:8" ht="23" thickBot="1">
      <c r="A15" s="8">
        <v>14</v>
      </c>
      <c r="B15" s="2" t="s">
        <v>621</v>
      </c>
      <c r="C15" s="2" t="s">
        <v>622</v>
      </c>
      <c r="D15" s="2" t="s">
        <v>623</v>
      </c>
      <c r="E15" s="2" t="s">
        <v>624</v>
      </c>
      <c r="F15" s="2">
        <v>48100</v>
      </c>
      <c r="G15" s="2" t="s">
        <v>127</v>
      </c>
      <c r="H15" s="9" t="s">
        <v>625</v>
      </c>
    </row>
    <row r="16" spans="1:8" ht="15" thickBot="1">
      <c r="A16" s="6">
        <v>15</v>
      </c>
      <c r="B16" s="1" t="s">
        <v>626</v>
      </c>
      <c r="C16" s="1" t="s">
        <v>627</v>
      </c>
      <c r="D16" s="1" t="s">
        <v>628</v>
      </c>
      <c r="E16" s="1" t="s">
        <v>629</v>
      </c>
      <c r="F16" s="1">
        <v>1320</v>
      </c>
      <c r="G16" s="1" t="s">
        <v>306</v>
      </c>
      <c r="H16" s="7" t="s">
        <v>630</v>
      </c>
    </row>
    <row r="17" spans="1:8" ht="23" thickBot="1">
      <c r="A17" s="8">
        <v>16</v>
      </c>
      <c r="B17" s="2" t="s">
        <v>631</v>
      </c>
      <c r="C17" s="2" t="s">
        <v>632</v>
      </c>
      <c r="D17" s="2" t="s">
        <v>633</v>
      </c>
      <c r="E17" s="2" t="s">
        <v>634</v>
      </c>
      <c r="F17" s="2">
        <v>97101</v>
      </c>
      <c r="G17" s="2" t="s">
        <v>150</v>
      </c>
      <c r="H17" s="9" t="s">
        <v>635</v>
      </c>
    </row>
    <row r="18" spans="1:8" ht="15" thickBot="1">
      <c r="A18" s="6">
        <v>17</v>
      </c>
      <c r="B18" s="1" t="s">
        <v>636</v>
      </c>
      <c r="C18" s="1" t="s">
        <v>637</v>
      </c>
      <c r="D18" s="1" t="s">
        <v>638</v>
      </c>
      <c r="E18" s="1" t="s">
        <v>639</v>
      </c>
      <c r="F18" s="1" t="s">
        <v>640</v>
      </c>
      <c r="G18" s="1" t="s">
        <v>31</v>
      </c>
      <c r="H18" s="7" t="s">
        <v>641</v>
      </c>
    </row>
    <row r="19" spans="1:8" ht="23" thickBot="1">
      <c r="A19" s="8">
        <v>18</v>
      </c>
      <c r="B19" s="2" t="s">
        <v>642</v>
      </c>
      <c r="C19" s="2" t="s">
        <v>643</v>
      </c>
      <c r="D19" s="2" t="s">
        <v>644</v>
      </c>
      <c r="E19" s="2" t="s">
        <v>257</v>
      </c>
      <c r="F19" s="2">
        <v>75004</v>
      </c>
      <c r="G19" s="2" t="s">
        <v>40</v>
      </c>
      <c r="H19" s="9" t="s">
        <v>645</v>
      </c>
    </row>
    <row r="20" spans="1:8" ht="34" thickBot="1">
      <c r="A20" s="6">
        <v>19</v>
      </c>
      <c r="B20" s="1" t="s">
        <v>646</v>
      </c>
      <c r="C20" s="1" t="s">
        <v>647</v>
      </c>
      <c r="D20" s="1" t="s">
        <v>648</v>
      </c>
      <c r="E20" s="1" t="s">
        <v>649</v>
      </c>
      <c r="F20" s="1">
        <v>2134</v>
      </c>
      <c r="G20" s="1" t="s">
        <v>150</v>
      </c>
      <c r="H20" s="7" t="s">
        <v>650</v>
      </c>
    </row>
    <row r="21" spans="1:8" ht="23" thickBot="1">
      <c r="A21" s="8">
        <v>20</v>
      </c>
      <c r="B21" s="2" t="s">
        <v>651</v>
      </c>
      <c r="C21" s="2" t="s">
        <v>652</v>
      </c>
      <c r="D21" s="2" t="s">
        <v>653</v>
      </c>
      <c r="E21" s="2" t="s">
        <v>654</v>
      </c>
      <c r="F21" s="2">
        <v>512</v>
      </c>
      <c r="G21" s="2" t="s">
        <v>654</v>
      </c>
      <c r="H21" s="9" t="s">
        <v>655</v>
      </c>
    </row>
    <row r="22" spans="1:8" ht="23" thickBot="1">
      <c r="A22" s="6">
        <v>21</v>
      </c>
      <c r="B22" s="1" t="s">
        <v>656</v>
      </c>
      <c r="C22" s="1" t="s">
        <v>657</v>
      </c>
      <c r="D22" s="1" t="s">
        <v>658</v>
      </c>
      <c r="E22" s="1" t="s">
        <v>659</v>
      </c>
      <c r="F22" s="1">
        <v>2800</v>
      </c>
      <c r="G22" s="1" t="s">
        <v>319</v>
      </c>
      <c r="H22" s="7">
        <v>43844108</v>
      </c>
    </row>
    <row r="23" spans="1:8" ht="23" thickBot="1">
      <c r="A23" s="8">
        <v>22</v>
      </c>
      <c r="B23" s="2" t="s">
        <v>660</v>
      </c>
      <c r="C23" s="2" t="s">
        <v>661</v>
      </c>
      <c r="D23" s="2" t="s">
        <v>662</v>
      </c>
      <c r="E23" s="2" t="s">
        <v>663</v>
      </c>
      <c r="F23" s="2" t="s">
        <v>664</v>
      </c>
      <c r="G23" s="2" t="s">
        <v>665</v>
      </c>
      <c r="H23" s="9" t="s">
        <v>666</v>
      </c>
    </row>
    <row r="24" spans="1:8" ht="15" thickBot="1">
      <c r="A24" s="6">
        <v>23</v>
      </c>
      <c r="B24" s="1" t="s">
        <v>667</v>
      </c>
      <c r="C24" s="1" t="s">
        <v>668</v>
      </c>
      <c r="D24" s="1" t="s">
        <v>669</v>
      </c>
      <c r="E24" s="1" t="s">
        <v>670</v>
      </c>
      <c r="F24" s="1">
        <v>53120</v>
      </c>
      <c r="G24" s="1" t="s">
        <v>374</v>
      </c>
      <c r="H24" s="7" t="s">
        <v>671</v>
      </c>
    </row>
    <row r="25" spans="1:8" ht="23" thickBot="1">
      <c r="A25" s="8">
        <v>24</v>
      </c>
      <c r="B25" s="2" t="s">
        <v>672</v>
      </c>
      <c r="C25" s="2" t="s">
        <v>673</v>
      </c>
      <c r="D25" s="2" t="s">
        <v>674</v>
      </c>
      <c r="E25" s="2" t="s">
        <v>675</v>
      </c>
      <c r="F25" s="2">
        <v>2042</v>
      </c>
      <c r="G25" s="2" t="s">
        <v>589</v>
      </c>
      <c r="H25" s="9" t="s">
        <v>676</v>
      </c>
    </row>
    <row r="26" spans="1:8" ht="23" thickBot="1">
      <c r="A26" s="6">
        <v>25</v>
      </c>
      <c r="B26" s="1" t="s">
        <v>677</v>
      </c>
      <c r="C26" s="1" t="s">
        <v>678</v>
      </c>
      <c r="D26" s="1" t="s">
        <v>679</v>
      </c>
      <c r="E26" s="1" t="s">
        <v>233</v>
      </c>
      <c r="F26" s="1" t="s">
        <v>234</v>
      </c>
      <c r="G26" s="1" t="s">
        <v>55</v>
      </c>
      <c r="H26" s="7" t="s">
        <v>680</v>
      </c>
    </row>
    <row r="27" spans="1:8" ht="23" thickBot="1">
      <c r="A27" s="8">
        <v>26</v>
      </c>
      <c r="B27" s="2" t="s">
        <v>681</v>
      </c>
      <c r="C27" s="2" t="s">
        <v>682</v>
      </c>
      <c r="D27" s="2" t="s">
        <v>683</v>
      </c>
      <c r="E27" s="2" t="s">
        <v>684</v>
      </c>
      <c r="F27" s="2">
        <v>84100</v>
      </c>
      <c r="G27" s="2" t="s">
        <v>127</v>
      </c>
      <c r="H27" s="9" t="s">
        <v>685</v>
      </c>
    </row>
    <row r="28" spans="1:8" ht="23" thickBot="1">
      <c r="A28" s="6">
        <v>27</v>
      </c>
      <c r="B28" s="1" t="s">
        <v>686</v>
      </c>
      <c r="C28" s="1" t="s">
        <v>687</v>
      </c>
      <c r="D28" s="1" t="s">
        <v>688</v>
      </c>
      <c r="E28" s="1" t="s">
        <v>689</v>
      </c>
      <c r="F28" s="1">
        <v>71300</v>
      </c>
      <c r="G28" s="1" t="s">
        <v>40</v>
      </c>
      <c r="H28" s="7" t="s">
        <v>690</v>
      </c>
    </row>
    <row r="29" spans="1:8" ht="23" thickBot="1">
      <c r="A29" s="8">
        <v>28</v>
      </c>
      <c r="B29" s="2" t="s">
        <v>691</v>
      </c>
      <c r="C29" s="2" t="s">
        <v>692</v>
      </c>
      <c r="D29" s="2" t="s">
        <v>693</v>
      </c>
      <c r="E29" s="2" t="s">
        <v>694</v>
      </c>
      <c r="F29" s="2">
        <v>74000</v>
      </c>
      <c r="G29" s="2" t="s">
        <v>40</v>
      </c>
      <c r="H29" s="9" t="s">
        <v>695</v>
      </c>
    </row>
    <row r="30" spans="1:8" ht="15" thickBot="1">
      <c r="A30" s="10">
        <v>29</v>
      </c>
      <c r="B30" s="11" t="s">
        <v>696</v>
      </c>
      <c r="C30" s="11" t="s">
        <v>697</v>
      </c>
      <c r="D30" s="11" t="s">
        <v>698</v>
      </c>
      <c r="E30" s="11" t="s">
        <v>699</v>
      </c>
      <c r="F30" s="11" t="s">
        <v>700</v>
      </c>
      <c r="G30" s="11" t="s">
        <v>55</v>
      </c>
      <c r="H30" s="12" t="s">
        <v>701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Presentation</vt:lpstr>
      <vt:lpstr>SQL</vt:lpstr>
      <vt:lpstr>SQL Console</vt:lpstr>
      <vt:lpstr>Computer store</vt:lpstr>
      <vt:lpstr>Employee</vt:lpstr>
      <vt:lpstr>Warehouse</vt:lpstr>
      <vt:lpstr>Pieces and Providers</vt:lpstr>
      <vt:lpstr>Accounts</vt:lpstr>
      <vt:lpstr>Fixpoint</vt:lpstr>
      <vt:lpstr>Unit Test</vt:lpstr>
      <vt:lpstr>Employees</vt:lpstr>
      <vt:lpstr>Orders</vt:lpstr>
      <vt:lpstr>Customers</vt:lpstr>
      <vt:lpstr>Products</vt:lpstr>
      <vt:lpstr>Suppliers</vt:lpstr>
      <vt:lpstr>boxlist</vt:lpstr>
      <vt:lpstr>Customers</vt:lpstr>
      <vt:lpstr>departmentlist</vt:lpstr>
      <vt:lpstr>employeelist</vt:lpstr>
      <vt:lpstr>Employees</vt:lpstr>
      <vt:lpstr>journal</vt:lpstr>
      <vt:lpstr>manufacturerlist</vt:lpstr>
      <vt:lpstr>Orders</vt:lpstr>
      <vt:lpstr>piecelist</vt:lpstr>
      <vt:lpstr>pieces</vt:lpstr>
      <vt:lpstr>productlist</vt:lpstr>
      <vt:lpstr>Products</vt:lpstr>
      <vt:lpstr>providers</vt:lpstr>
      <vt:lpstr>provides</vt:lpstr>
      <vt:lpstr>Suppliers</vt:lpstr>
      <vt:lpstr>unit1</vt:lpstr>
      <vt:lpstr>unit2</vt:lpstr>
      <vt:lpstr>unit3</vt:lpstr>
      <vt:lpstr>warehouselist</vt:lpstr>
    </vt:vector>
  </TitlesOfParts>
  <Company>Bundesverwaltung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Bürcher Matthias Felix BAK</dc:creator>
  <cp:lastModifiedBy>Matthias Bürcher</cp:lastModifiedBy>
  <cp:lastPrinted>2017-01-09T10:47:01Z</cp:lastPrinted>
  <dcterms:created xsi:type="dcterms:W3CDTF">2016-08-12T14:10:55Z</dcterms:created>
  <dcterms:modified xsi:type="dcterms:W3CDTF">2022-08-20T23:16:10Z</dcterms:modified>
</cp:coreProperties>
</file>