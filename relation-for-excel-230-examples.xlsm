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51196F13-6AD0-C1B8-E2B4-A1F9AE17003E}"/>
  <workbookPr showInkAnnotation="0" codeName="DieseArbeitsmappe" autoCompressPictures="0"/>
  <mc:AlternateContent xmlns:mc="http://schemas.openxmlformats.org/markup-compatibility/2006">
    <mc:Choice Requires="x15">
      <x15ac:absPath xmlns:x15ac="http://schemas.microsoft.com/office/spreadsheetml/2010/11/ac" url="/Users/matti/Dropbox/Programming/subtitler2.1/git/relation-for-excel/"/>
    </mc:Choice>
  </mc:AlternateContent>
  <xr:revisionPtr revIDLastSave="0" documentId="13_ncr:1_{FCE399FF-8600-1D43-9241-2C9D98AECBF0}" xr6:coauthVersionLast="36" xr6:coauthVersionMax="36" xr10:uidLastSave="{00000000-0000-0000-0000-000000000000}"/>
  <bookViews>
    <workbookView xWindow="1060" yWindow="460" windowWidth="26740" windowHeight="17180" tabRatio="696" activeTab="7" xr2:uid="{00000000-000D-0000-FFFF-FFFF00000000}"/>
  </bookViews>
  <sheets>
    <sheet name="Presentation" sheetId="2" r:id="rId1"/>
    <sheet name="Computer store" sheetId="3" r:id="rId2"/>
    <sheet name="Employees" sheetId="6" r:id="rId3"/>
    <sheet name="Warehouse" sheetId="7" r:id="rId4"/>
    <sheet name="Pieces and Providers" sheetId="8" r:id="rId5"/>
    <sheet name="Acounts" sheetId="9" r:id="rId6"/>
    <sheet name="Fixpoint" sheetId="10" r:id="rId7"/>
    <sheet name="Unit Test" sheetId="4" r:id="rId8"/>
  </sheets>
  <functionGroups builtInGroupCount="19"/>
  <externalReferences>
    <externalReference r:id="rId9"/>
  </externalReferences>
  <definedNames>
    <definedName name="boxes">Warehouse!$H$20</definedName>
    <definedName name="departments">Employees!$D$22</definedName>
    <definedName name="employees">Employees!$H$22</definedName>
    <definedName name="journal">Acounts!$I$6</definedName>
    <definedName name="manufacturers">'Computer store'!$D$21</definedName>
    <definedName name="pieces">'Pieces and Providers'!$D$20</definedName>
    <definedName name="products">'Computer store'!$G$21</definedName>
    <definedName name="providers">'Pieces and Providers'!$L$20</definedName>
    <definedName name="provides">'Pieces and Providers'!$H$20</definedName>
    <definedName name="providesdata">'Pieces and Providers'!$H$20</definedName>
    <definedName name="warehouses">Warehouse!$D$20</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54" i="2" l="1"/>
  <c r="D57" i="2"/>
  <c r="D81" i="2"/>
  <c r="E96" i="2"/>
  <c r="B54" i="4" l="1"/>
  <c r="B15" i="4"/>
  <c r="B48" i="4"/>
  <c r="A65" i="4"/>
  <c r="A88" i="4"/>
  <c r="A92" i="4"/>
  <c r="A91" i="4"/>
  <c r="G43" i="2"/>
  <c r="D75" i="2"/>
  <c r="G138" i="2"/>
  <c r="B47" i="4"/>
  <c r="B14" i="4"/>
  <c r="A59" i="4"/>
  <c r="B27" i="10"/>
  <c r="A24" i="4"/>
  <c r="H39" i="6"/>
  <c r="E75" i="2"/>
  <c r="H26" i="2"/>
  <c r="B16" i="10"/>
  <c r="B13" i="10"/>
  <c r="A33" i="4"/>
  <c r="L20" i="8"/>
  <c r="B27" i="4"/>
  <c r="A36" i="4"/>
  <c r="D35" i="2"/>
  <c r="G39" i="2"/>
  <c r="A68" i="4"/>
  <c r="D46" i="2"/>
  <c r="G26" i="3"/>
  <c r="A52" i="4"/>
  <c r="B46" i="4"/>
  <c r="G56" i="3"/>
  <c r="H42" i="7"/>
  <c r="G97" i="2"/>
  <c r="A32" i="4"/>
  <c r="B81" i="4"/>
  <c r="G35" i="2"/>
  <c r="D71" i="2"/>
  <c r="D30" i="2"/>
  <c r="H41" i="6"/>
  <c r="B28" i="4"/>
  <c r="D21" i="3"/>
  <c r="I57" i="2"/>
  <c r="B18" i="4"/>
  <c r="A72" i="4"/>
  <c r="B17" i="4"/>
  <c r="A26" i="4"/>
  <c r="D20" i="8"/>
  <c r="A51" i="4"/>
  <c r="H32" i="6"/>
  <c r="A22" i="4"/>
  <c r="D134" i="2"/>
  <c r="H34" i="6"/>
  <c r="H25" i="7"/>
  <c r="E103" i="2"/>
  <c r="A80" i="4"/>
  <c r="D136" i="2"/>
  <c r="D119" i="2"/>
  <c r="A44" i="4"/>
  <c r="A21" i="4"/>
  <c r="A87" i="4"/>
  <c r="D132" i="2"/>
  <c r="E98" i="2"/>
  <c r="B97" i="4"/>
  <c r="B15" i="10"/>
  <c r="B44" i="4"/>
  <c r="D19" i="8"/>
  <c r="A43" i="4"/>
  <c r="G54" i="3"/>
  <c r="A45" i="4"/>
  <c r="H19" i="8"/>
  <c r="B96" i="4"/>
  <c r="A34" i="4"/>
  <c r="I57" i="9"/>
  <c r="G33" i="3"/>
  <c r="A50" i="4"/>
  <c r="A42" i="4"/>
  <c r="A84" i="4"/>
  <c r="A47" i="4"/>
  <c r="A73" i="4"/>
  <c r="B32" i="4"/>
  <c r="B16" i="4"/>
  <c r="G25" i="2"/>
  <c r="B37" i="10"/>
  <c r="B38" i="10"/>
  <c r="L19" i="8"/>
  <c r="D20" i="3"/>
  <c r="I6" i="9"/>
  <c r="D65" i="2"/>
  <c r="B64" i="4"/>
  <c r="B29" i="4"/>
  <c r="G75" i="2"/>
  <c r="A78" i="4"/>
  <c r="A37" i="4"/>
  <c r="G30" i="2"/>
  <c r="E100" i="2"/>
  <c r="G49" i="3"/>
  <c r="A76" i="4"/>
  <c r="A83" i="4"/>
  <c r="A77" i="4"/>
  <c r="B45" i="4"/>
  <c r="B33" i="4"/>
  <c r="B13" i="4"/>
  <c r="H37" i="6"/>
  <c r="D112" i="2"/>
  <c r="G23" i="3"/>
  <c r="D20" i="7"/>
  <c r="A74" i="4"/>
  <c r="A81" i="4"/>
  <c r="A40" i="4"/>
  <c r="A54" i="4"/>
  <c r="G132" i="2"/>
  <c r="E101" i="2"/>
  <c r="A69" i="4"/>
  <c r="G60" i="3"/>
  <c r="G65" i="2"/>
  <c r="G36" i="3"/>
  <c r="A19" i="4"/>
  <c r="D21" i="6"/>
  <c r="A31" i="4"/>
  <c r="H23" i="8"/>
  <c r="A15" i="4"/>
  <c r="A62" i="4"/>
  <c r="A85" i="4"/>
  <c r="A38" i="4"/>
  <c r="A17" i="4"/>
  <c r="E97" i="2"/>
  <c r="H47" i="6"/>
  <c r="D26" i="2"/>
  <c r="A94" i="4"/>
  <c r="A57" i="4"/>
  <c r="H43" i="6"/>
  <c r="A56" i="4"/>
  <c r="H13" i="10"/>
  <c r="G46" i="2"/>
  <c r="G39" i="3"/>
  <c r="E105" i="2"/>
  <c r="H20" i="8"/>
  <c r="G46" i="3"/>
  <c r="G26" i="2"/>
  <c r="D137" i="2"/>
  <c r="E104" i="2"/>
  <c r="D39" i="2"/>
  <c r="H21" i="6"/>
  <c r="A16" i="4"/>
  <c r="A79" i="4"/>
  <c r="A96" i="4"/>
  <c r="G133" i="2"/>
  <c r="A23" i="4"/>
  <c r="H25" i="2"/>
  <c r="G57" i="2"/>
  <c r="H33" i="7"/>
  <c r="D36" i="2"/>
  <c r="G139" i="2"/>
  <c r="B61" i="4"/>
  <c r="B88" i="4"/>
  <c r="B51" i="4"/>
  <c r="B37" i="4"/>
  <c r="B23" i="4"/>
  <c r="B57" i="4"/>
  <c r="B74" i="4"/>
  <c r="H29" i="7"/>
  <c r="A25" i="4"/>
  <c r="H30" i="6"/>
  <c r="D121" i="2"/>
  <c r="A46" i="4"/>
  <c r="A61" i="4"/>
  <c r="D117" i="2"/>
  <c r="G58" i="3"/>
  <c r="G42" i="3"/>
  <c r="H36" i="7"/>
  <c r="H38" i="8"/>
  <c r="D97" i="4"/>
  <c r="A71" i="4"/>
  <c r="A28" i="4"/>
  <c r="G134" i="2"/>
  <c r="A18" i="4"/>
  <c r="B68" i="4"/>
  <c r="H19" i="7"/>
  <c r="H45" i="6"/>
  <c r="H44" i="7"/>
  <c r="A20" i="4"/>
  <c r="D43" i="2"/>
  <c r="H27" i="7"/>
  <c r="A48" i="4"/>
  <c r="H20" i="7"/>
  <c r="D22" i="6"/>
  <c r="H58" i="2"/>
  <c r="A64" i="4"/>
  <c r="G20" i="3"/>
  <c r="A93" i="4"/>
  <c r="H25" i="6"/>
  <c r="B82" i="4"/>
  <c r="A14" i="4"/>
  <c r="B26" i="4"/>
  <c r="H22" i="7"/>
  <c r="B95" i="4"/>
  <c r="B63" i="4"/>
  <c r="D133" i="2"/>
  <c r="H37" i="7"/>
  <c r="G31" i="2"/>
  <c r="H36" i="2" s="1"/>
  <c r="D91" i="4"/>
  <c r="H46" i="6"/>
  <c r="D92" i="4"/>
  <c r="B55" i="4"/>
  <c r="B73" i="4"/>
  <c r="G29" i="3"/>
  <c r="B28" i="10"/>
  <c r="E102" i="2"/>
  <c r="A55" i="4"/>
  <c r="A30" i="4"/>
  <c r="I58" i="2"/>
  <c r="D58" i="2"/>
  <c r="D66" i="2" s="1"/>
  <c r="B14" i="10"/>
  <c r="D50" i="2"/>
  <c r="A29" i="4"/>
  <c r="D107" i="2"/>
  <c r="H26" i="8"/>
  <c r="A67" i="4"/>
  <c r="D19" i="7"/>
  <c r="H29" i="8"/>
  <c r="B29" i="10"/>
  <c r="A82" i="4"/>
  <c r="H32" i="8"/>
  <c r="D118" i="2"/>
  <c r="E106" i="2"/>
  <c r="D122" i="2"/>
  <c r="A95" i="4"/>
  <c r="H46" i="7"/>
  <c r="B93" i="4"/>
  <c r="A41" i="4"/>
  <c r="G136" i="2"/>
  <c r="D139" i="2"/>
  <c r="B94" i="4"/>
  <c r="G66" i="2"/>
  <c r="G76" i="2" s="1"/>
  <c r="G50" i="2"/>
  <c r="H35" i="2"/>
  <c r="H40" i="7"/>
  <c r="G52" i="3"/>
  <c r="B30" i="4"/>
  <c r="H49" i="6"/>
  <c r="H57" i="2"/>
  <c r="H36" i="8"/>
  <c r="D108" i="2"/>
  <c r="D120" i="2"/>
  <c r="H30" i="2"/>
  <c r="E76" i="2"/>
  <c r="B12" i="10"/>
  <c r="A27" i="4"/>
  <c r="A97" i="4"/>
  <c r="H27" i="8"/>
  <c r="A53" i="4"/>
  <c r="H22" i="6"/>
  <c r="A39" i="4"/>
  <c r="B67" i="4"/>
  <c r="B41" i="4"/>
  <c r="A63" i="4"/>
  <c r="E35" i="2"/>
  <c r="A70" i="4"/>
  <c r="A90" i="4"/>
  <c r="B65" i="4"/>
  <c r="B71" i="4"/>
  <c r="A13" i="4"/>
  <c r="B83" i="4"/>
  <c r="E99" i="2"/>
  <c r="H28" i="6"/>
  <c r="G21" i="3"/>
  <c r="A60" i="4"/>
  <c r="H23" i="6"/>
  <c r="D25" i="2"/>
  <c r="G24" i="3"/>
  <c r="D138" i="2"/>
  <c r="H31" i="7"/>
  <c r="B62" i="4"/>
  <c r="H48" i="6"/>
  <c r="I79" i="4"/>
  <c r="H33" i="8"/>
  <c r="H37" i="8"/>
  <c r="B30" i="10"/>
  <c r="H34" i="7"/>
  <c r="I7" i="9"/>
  <c r="H30" i="8"/>
  <c r="D40" i="2"/>
  <c r="B17" i="10"/>
  <c r="D47" i="2"/>
  <c r="D51" i="2" s="1"/>
  <c r="G58" i="2"/>
  <c r="B40" i="10"/>
  <c r="D44" i="2"/>
  <c r="I8" i="9"/>
  <c r="G137" i="2"/>
  <c r="D55" i="2"/>
  <c r="B31" i="4"/>
  <c r="B79" i="4"/>
  <c r="B78" i="4"/>
  <c r="B85" i="4"/>
  <c r="B59" i="4"/>
  <c r="B60" i="4"/>
  <c r="B20" i="4"/>
  <c r="B24" i="4"/>
  <c r="B38" i="4"/>
  <c r="B52" i="4"/>
  <c r="B76" i="4"/>
  <c r="B84" i="4"/>
  <c r="B90" i="4"/>
  <c r="B43" i="4"/>
  <c r="B56" i="4"/>
  <c r="B80" i="4"/>
  <c r="B77" i="4"/>
  <c r="B42" i="4"/>
  <c r="B69" i="4"/>
  <c r="B92" i="4"/>
  <c r="B70" i="4"/>
  <c r="B91" i="4"/>
  <c r="B72" i="4"/>
  <c r="B21" i="4"/>
  <c r="B25" i="4"/>
  <c r="B34" i="4"/>
  <c r="B39" i="4"/>
  <c r="B53" i="4"/>
  <c r="B22" i="4"/>
  <c r="B36" i="4"/>
  <c r="B40" i="4"/>
  <c r="B50" i="4"/>
  <c r="B87" i="4"/>
  <c r="D135" i="2"/>
  <c r="E36" i="2"/>
  <c r="D31" i="2"/>
  <c r="G135" i="2"/>
  <c r="H31" i="2"/>
  <c r="G47" i="2" s="1"/>
  <c r="G51" i="2" s="1"/>
  <c r="G36" i="2"/>
  <c r="G40" i="2" s="1"/>
  <c r="G44" i="2" s="1"/>
  <c r="D113" i="2" s="1"/>
  <c r="H30" i="7"/>
  <c r="H23" i="7"/>
  <c r="H41" i="7"/>
  <c r="H43" i="7" s="1"/>
  <c r="H45" i="7" s="1"/>
  <c r="H32" i="7"/>
  <c r="H26" i="7"/>
  <c r="H28" i="7"/>
  <c r="H40" i="6"/>
  <c r="H35" i="6"/>
  <c r="D76" i="2"/>
  <c r="D72" i="2"/>
  <c r="D82" i="2" a="1"/>
  <c r="H38" i="6"/>
  <c r="H24" i="6"/>
  <c r="H33" i="6"/>
  <c r="H31" i="6"/>
  <c r="H29" i="6"/>
  <c r="H50" i="6"/>
  <c r="H26" i="6"/>
  <c r="G34" i="3"/>
  <c r="G37" i="3"/>
  <c r="G40" i="3"/>
  <c r="G27" i="3"/>
  <c r="G55" i="3"/>
  <c r="G59" i="3"/>
  <c r="G43" i="3"/>
  <c r="G50" i="3"/>
  <c r="G30" i="3"/>
  <c r="G57" i="3"/>
  <c r="G47" i="3"/>
  <c r="G61" i="3"/>
  <c r="G53" i="3"/>
  <c r="H42" i="6"/>
  <c r="H44" i="6"/>
  <c r="G87" i="2" l="1"/>
  <c r="D92" i="2"/>
  <c r="F90" i="2"/>
  <c r="D87" i="2"/>
  <c r="F94" i="2"/>
  <c r="D89" i="2"/>
  <c r="E86" i="2"/>
  <c r="G90" i="2"/>
  <c r="G91" i="2"/>
  <c r="G85" i="2"/>
  <c r="E91" i="2"/>
  <c r="F91" i="2"/>
  <c r="G84" i="2"/>
  <c r="F84" i="2"/>
  <c r="G86" i="2"/>
  <c r="D88" i="2"/>
  <c r="G83" i="2"/>
  <c r="D84" i="2"/>
  <c r="F86" i="2"/>
  <c r="D83" i="2"/>
  <c r="E84" i="2"/>
  <c r="E85" i="2"/>
  <c r="D91" i="2"/>
  <c r="F85" i="2"/>
  <c r="D85" i="2"/>
  <c r="E88" i="2"/>
  <c r="D94" i="2"/>
  <c r="F83" i="2"/>
  <c r="F93" i="2"/>
  <c r="E93" i="2"/>
  <c r="G82" i="2"/>
  <c r="G92" i="2"/>
  <c r="F88" i="2"/>
  <c r="E83" i="2"/>
  <c r="E87" i="2"/>
  <c r="F92" i="2"/>
  <c r="E89" i="2"/>
  <c r="G88" i="2"/>
  <c r="G89" i="2"/>
  <c r="G93" i="2"/>
  <c r="D93" i="2"/>
  <c r="E90" i="2"/>
  <c r="D90" i="2"/>
  <c r="E92" i="2"/>
  <c r="F89" i="2"/>
  <c r="D82" i="2"/>
  <c r="E94" i="2"/>
  <c r="F87" i="2"/>
  <c r="D86" i="2"/>
  <c r="F82" i="2"/>
  <c r="E82" i="2"/>
  <c r="G94" i="2"/>
  <c r="C87" i="4"/>
  <c r="C50" i="4"/>
  <c r="C40" i="4"/>
  <c r="C36" i="4"/>
  <c r="C22" i="4"/>
  <c r="C53" i="4"/>
  <c r="C39" i="4"/>
  <c r="C34" i="4"/>
  <c r="C25" i="4"/>
  <c r="C21" i="4"/>
  <c r="C72" i="4"/>
  <c r="C91" i="4"/>
  <c r="C70" i="4"/>
  <c r="C92" i="4"/>
  <c r="C69" i="4"/>
  <c r="C42" i="4"/>
  <c r="C77" i="4"/>
  <c r="C80" i="4"/>
  <c r="C56" i="4"/>
  <c r="C43" i="4"/>
  <c r="C90" i="4"/>
  <c r="C84" i="4"/>
  <c r="C76" i="4"/>
  <c r="C52" i="4"/>
  <c r="C38" i="4"/>
  <c r="C24" i="4"/>
  <c r="C20" i="4"/>
  <c r="C60" i="4"/>
  <c r="C59" i="4"/>
  <c r="C85" i="4"/>
  <c r="C78" i="4"/>
  <c r="C79" i="4"/>
  <c r="C31" i="4"/>
  <c r="C62" i="4"/>
  <c r="C83" i="4"/>
  <c r="C71" i="4"/>
  <c r="C65" i="4"/>
  <c r="C41" i="4"/>
  <c r="C67" i="4"/>
  <c r="C94" i="4"/>
  <c r="C93" i="4"/>
  <c r="C73" i="4"/>
  <c r="C55" i="4"/>
  <c r="C63" i="4"/>
  <c r="C95" i="4"/>
  <c r="C26" i="4"/>
  <c r="C82" i="4"/>
  <c r="C68" i="4"/>
  <c r="C74" i="4"/>
  <c r="C57" i="4"/>
  <c r="C23" i="4"/>
  <c r="C37" i="4"/>
  <c r="C51" i="4"/>
  <c r="C88" i="4"/>
  <c r="C61" i="4"/>
  <c r="C13" i="4"/>
  <c r="C33" i="4"/>
  <c r="C45" i="4"/>
  <c r="C29" i="4"/>
  <c r="C64" i="4"/>
  <c r="C16" i="4"/>
  <c r="C32" i="4"/>
  <c r="C96" i="4"/>
  <c r="C44" i="4"/>
  <c r="C97" i="4"/>
  <c r="C17" i="4"/>
  <c r="C18" i="4"/>
  <c r="C28" i="4"/>
  <c r="C81" i="4"/>
  <c r="C46" i="4"/>
  <c r="C27" i="4"/>
  <c r="C14" i="4"/>
  <c r="C47" i="4"/>
  <c r="C48" i="4"/>
  <c r="C15" i="4"/>
  <c r="C54" i="4"/>
  <c r="H47" i="7"/>
  <c r="H24" i="8"/>
  <c r="H39" i="8"/>
  <c r="I9" i="9"/>
  <c r="I10" i="9" s="1"/>
  <c r="I11" i="9" s="1"/>
  <c r="I15" i="9"/>
  <c r="I12" i="9"/>
  <c r="I16" i="9" s="1"/>
  <c r="I14" i="9"/>
  <c r="I18" i="9" s="1"/>
  <c r="I13" i="9"/>
  <c r="I19" i="9"/>
  <c r="I17" i="9"/>
  <c r="I22" i="9" l="1"/>
  <c r="I23" i="9"/>
  <c r="I21" i="9"/>
  <c r="I20" i="9"/>
  <c r="J3" i="9"/>
  <c r="I3" i="9"/>
</calcChain>
</file>

<file path=xl/sharedStrings.xml><?xml version="1.0" encoding="utf-8"?>
<sst xmlns="http://schemas.openxmlformats.org/spreadsheetml/2006/main" count="534" uniqueCount="373">
  <si>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</si>
  <si>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</si>
  <si>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</si>
  <si>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</si>
  <si>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</si>
  <si>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</si>
  <si>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</si>
  <si>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</si>
  <si>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</si>
  <si>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</si>
  <si>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</si>
  <si>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</si>
  <si>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</si>
  <si>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</si>
  <si>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</si>
  <si>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</si>
  <si>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</si>
  <si>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</si>
  <si>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</si>
  <si>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</si>
  <si>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The functions are demonstrated here</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</si>
  <si>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</si>
  <si>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</si>
  <si>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</si>
  <si>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</si>
  <si>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</si>
  <si>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</si>
  <si>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</si>
  <si>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</si>
  <si>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</si>
  <si>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</si>
  <si>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</si>
  <si>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</si>
  <si>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Union</t>
  </si>
  <si>
    <t>Difference</t>
  </si>
  <si>
    <t>Join</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</si>
  <si>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</si>
  <si>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</si>
  <si>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</si>
  <si>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</si>
  <si>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</si>
  <si>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</si>
  <si>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</si>
  <si>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</si>
  <si>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</si>
  <si>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</si>
  <si>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</si>
  <si>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</si>
  <si>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</si>
  <si>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</si>
  <si>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</si>
  <si>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</si>
  <si>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</si>
  <si>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</si>
  <si>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</si>
  <si>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</si>
  <si>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</si>
  <si>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</si>
  <si>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</si>
  <si>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</si>
  <si>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</si>
  <si>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</si>
  <si>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</si>
  <si>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</si>
  <si>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</si>
  <si>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</si>
  <si>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</si>
  <si>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</si>
  <si>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</si>
  <si>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</si>
  <si>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</si>
  <si>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</si>
  <si>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</si>
  <si>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</si>
  <si>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</si>
  <si>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</si>
  <si>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</si>
  <si>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</si>
  <si>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</si>
  <si>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</si>
  <si>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</si>
  <si>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</si>
  <si>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</si>
  <si>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Unit Test</t>
  </si>
  <si>
    <t>Formula</t>
  </si>
  <si>
    <t>Expected Value</t>
  </si>
  <si>
    <t>Test</t>
  </si>
  <si>
    <t>Result</t>
  </si>
  <si>
    <t>x</t>
  </si>
  <si>
    <t>y</t>
  </si>
  <si>
    <t>#ERROR COLUMN: blabla</t>
  </si>
  <si>
    <t>#ERROR LIST EMPTY</t>
  </si>
  <si>
    <t>#ERROR ARITY :  3 &lt;&gt; 2</t>
  </si>
  <si>
    <t/>
  </si>
  <si>
    <t>is not range</t>
  </si>
  <si>
    <t>empty relation</t>
  </si>
  <si>
    <t>text coerced number will be "0"</t>
  </si>
  <si>
    <t>is not string</t>
  </si>
  <si>
    <t>comment</t>
  </si>
  <si>
    <t>no column</t>
  </si>
  <si>
    <t>space column</t>
  </si>
  <si>
    <t>This meand typically about 350 rows with 12 columns</t>
  </si>
  <si>
    <t>There is  an alternative syntax, where you can enter the formula for an entire range with control-shift-enter (adding curly braces)</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</si>
  <si>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</si>
  <si>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</si>
  <si>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</si>
  <si>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</si>
  <si>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</si>
  <si>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</si>
  <si>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</si>
  <si>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</si>
  <si>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</si>
  <si>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</si>
  <si>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</si>
  <si>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</si>
  <si>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</si>
  <si>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</si>
  <si>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</si>
  <si>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</si>
  <si>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</si>
  <si>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</si>
  <si>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</si>
  <si>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</si>
  <si>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</si>
  <si>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</si>
  <si>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</si>
  <si>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</si>
  <si>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</si>
  <si>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</si>
  <si>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</si>
  <si>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</si>
  <si>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</si>
  <si>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</si>
  <si>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</si>
  <si>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</si>
  <si>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</si>
  <si>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</si>
  <si>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</si>
  <si>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</si>
  <si>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</si>
  <si>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</si>
  <si>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</si>
  <si>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</si>
  <si>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Select the number of employees in each department (you only need to show the department code and the number of employees).</t>
  </si>
  <si>
    <t>Select all the data of employees, including each employee's department's data.</t>
  </si>
  <si>
    <t>Select the name and last name of each employee, along with the name and budget of the employee's department.</t>
  </si>
  <si>
    <t>Select the name and last name of employees working for departments with a budget greater than $60,000.</t>
  </si>
  <si>
    <t>Select the departments with a budget larger than the average budget of all the departments.</t>
  </si>
  <si>
    <t>Select the names of departments with more than two employees</t>
  </si>
  <si>
    <t>Select the name and last name of employees working for departments with second lowest budget.</t>
  </si>
  <si>
    <t>Limit</t>
  </si>
  <si>
    <t>http://www.sofawiki.com/demo/queryfunction/the-warehouse</t>
  </si>
  <si>
    <t>Warehouses data</t>
  </si>
  <si>
    <t>location</t>
  </si>
  <si>
    <t>capacity</t>
  </si>
  <si>
    <t>Chicago</t>
  </si>
  <si>
    <t>New York</t>
  </si>
  <si>
    <t>Los Angeles</t>
  </si>
  <si>
    <t>San Francisco</t>
  </si>
  <si>
    <t>Boxes data</t>
  </si>
  <si>
    <t>contents</t>
  </si>
  <si>
    <t>value</t>
  </si>
  <si>
    <t>0MN7</t>
  </si>
  <si>
    <t>Rocks</t>
  </si>
  <si>
    <t>4H8P</t>
  </si>
  <si>
    <t>4RT3</t>
  </si>
  <si>
    <t>Scissors</t>
  </si>
  <si>
    <t>7G3H</t>
  </si>
  <si>
    <t>8JN6</t>
  </si>
  <si>
    <t>Papers</t>
  </si>
  <si>
    <t>8Y6U</t>
  </si>
  <si>
    <t>9J6F</t>
  </si>
  <si>
    <t>LL08</t>
  </si>
  <si>
    <t>P0H6</t>
  </si>
  <si>
    <t>P2T6</t>
  </si>
  <si>
    <t>Select all boxes with a value larger than $150.</t>
  </si>
  <si>
    <t>Select all distinct contents in all the boxes.</t>
  </si>
  <si>
    <t>Select the average value of all the boxes</t>
  </si>
  <si>
    <t>Select the warehouse code and the average value of the boxes in each warehouse.</t>
  </si>
  <si>
    <t>Select the code of each box, along with the name of the city the box is located in.</t>
  </si>
  <si>
    <t>Select the warehouse codes, along with the number of boxes in each warehouse.</t>
  </si>
  <si>
    <t>Optionally, take into account that some warehouses are empty (i.e., the box count should show up as zero, instead of omitting the warehouse from the result).</t>
  </si>
  <si>
    <t>Select the codes of all warehouses that are saturated (a warehouse is saturated if the number of boxes in it is larger than the warehouse's capacity).</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</si>
  <si>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</si>
  <si>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</si>
  <si>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</si>
  <si>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</si>
  <si>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</si>
  <si>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</si>
  <si>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</si>
  <si>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</si>
  <si>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HAL</t>
  </si>
  <si>
    <t>RBT</t>
  </si>
  <si>
    <t>TNBC</t>
  </si>
  <si>
    <t>Providers data</t>
  </si>
  <si>
    <t>Clarke Entreprises</t>
  </si>
  <si>
    <t>Susan Calvin Corp.</t>
  </si>
  <si>
    <t>Skellington Supplies</t>
  </si>
  <si>
    <t>Select the name of all the pieces</t>
  </si>
  <si>
    <t>Obtain the average price of each piece (show only the piece code and the average price).</t>
  </si>
  <si>
    <t>Obtain the names of all providers who supply piece 1.</t>
  </si>
  <si>
    <t>Select the name of pieces provided by provider with code "HAL".</t>
  </si>
  <si>
    <t>For each piece, find the most expensive offering of that piece and include the piece name, provider name, and price (note that there could be two providers who supply the same piece at the most expensive price).</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</si>
  <si>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</si>
  <si>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</si>
  <si>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</si>
  <si>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</si>
  <si>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</si>
  <si>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</si>
  <si>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</si>
  <si>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</si>
  <si>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</si>
  <si>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</si>
  <si>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</si>
  <si>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</si>
  <si>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</si>
  <si>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</si>
  <si>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</si>
  <si>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</si>
  <si>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</si>
  <si>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</si>
  <si>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</si>
  <si>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</si>
  <si>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</si>
  <si>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</si>
  <si>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</si>
  <si>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</si>
  <si>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</si>
  <si>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Rotate</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</si>
  <si>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</si>
  <si>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</si>
  <si>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</si>
  <si>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</si>
  <si>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</si>
  <si>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</si>
  <si>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</si>
  <si>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</si>
  <si>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</si>
  <si>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</si>
  <si>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</si>
  <si>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</si>
  <si>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</si>
  <si>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</si>
  <si>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</si>
  <si>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</si>
  <si>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</si>
  <si>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3000/4000</t>
  </si>
  <si>
    <t>Intermediate calculations</t>
  </si>
  <si>
    <t>You can workaround this usin the relFilter function</t>
  </si>
  <si>
    <t>relFilter is a workaround to deal with the 32k limit of Excel. Only the end result must be less than 32k.</t>
  </si>
  <si>
    <t xml:space="preserve">A range with more than one cell will be interpreted as range. </t>
  </si>
  <si>
    <t>count of empty value 0</t>
  </si>
  <si>
    <t>Text size 32k and therefore a result can not have more than 32k characters or you have an error (use relFilter)</t>
  </si>
  <si>
    <t>Performance not tested, though it looks decent even with a lot of data</t>
  </si>
  <si>
    <t>One based row and column. Does return empty string, when out of bounds</t>
  </si>
  <si>
    <t>You can define a range without naming columns, they will get default names (c1, c2..)</t>
  </si>
  <si>
    <t>Columns are selected by name or position and preceded by dollar sign, if used as string and a percent sign, if used as number</t>
  </si>
  <si>
    <t>If you do not specify the column name, it will be automatically named.</t>
  </si>
  <si>
    <t>You can add a column with calculations based on existing columns</t>
  </si>
  <si>
    <t>Union only checks for arity, common columns and eliminates duplicates</t>
  </si>
  <si>
    <t>Duplicate column names are renamed with suffixes.</t>
  </si>
  <si>
    <t>Join is actually a theta join, use column numbers or names.</t>
  </si>
  <si>
    <t>Rename</t>
  </si>
  <si>
    <t>Intersect</t>
  </si>
  <si>
    <t>Difference also checks for arity and columns</t>
  </si>
  <si>
    <t xml:space="preserve">Rotate is not really relational algebra either, but useful, too. </t>
  </si>
  <si>
    <t>Column names are lost, and columns are automatically named, unless you want to use the first column as headers</t>
  </si>
  <si>
    <t>You can use any operators, call them by their first letter: S, P, E, U, D, I, J, R, O, R. Q is used for Rotation</t>
  </si>
  <si>
    <t>An empty string will be interpreted as relation</t>
  </si>
  <si>
    <t>A string with a newline character will be interpreted as relation</t>
  </si>
  <si>
    <t>itemid</t>
  </si>
  <si>
    <t>manid</t>
  </si>
  <si>
    <t>Special command ! cuts calculation (debugging)</t>
  </si>
  <si>
    <t>Special command # starts a comment</t>
  </si>
  <si>
    <t>Special command C selects a single cell results (shortcut to remove header) and returns a number, if different from 0</t>
  </si>
  <si>
    <t>There is a third parameter if you want to have the result to be forced to be a number</t>
  </si>
  <si>
    <t>named products</t>
  </si>
  <si>
    <t>named manufacturer</t>
  </si>
  <si>
    <t>depid</t>
  </si>
  <si>
    <t>wid</t>
  </si>
  <si>
    <t>boxid</t>
  </si>
  <si>
    <t>If you do not want to count empty values from an outer join, add a counter column before the join</t>
  </si>
  <si>
    <t>Assertion</t>
  </si>
  <si>
    <t>If the constraint is respected, the function returns true.</t>
  </si>
  <si>
    <t>If the constraint is not respected, an error with the line is returned</t>
  </si>
  <si>
    <t>The constraints can be ALL, EXISTS, UNIQUE, COLUMNS and apply to an expression on the relation</t>
  </si>
  <si>
    <t>You can use relAssertion to check integitry of relations</t>
  </si>
  <si>
    <t>employee</t>
  </si>
  <si>
    <t>manager</t>
  </si>
  <si>
    <t>Fixpoint queries</t>
  </si>
  <si>
    <t>With relFixpoint you can walk through tree or a graph of a relation.</t>
  </si>
  <si>
    <t>This is a recursive union of joins. The fixpoint column will have the initial value start and then get each time the connect column, as long as there are new values.</t>
  </si>
  <si>
    <t>The column order is forced to the initial one.</t>
  </si>
  <si>
    <t>child</t>
  </si>
  <si>
    <t>sex</t>
  </si>
  <si>
    <t>mother</t>
  </si>
  <si>
    <t>father</t>
  </si>
  <si>
    <t>Bob</t>
  </si>
  <si>
    <t>M</t>
  </si>
  <si>
    <t>Alice</t>
  </si>
  <si>
    <t>Curt</t>
  </si>
  <si>
    <t>Diana</t>
  </si>
  <si>
    <t>Elisabeth</t>
  </si>
  <si>
    <t>Frank</t>
  </si>
  <si>
    <t>Heather</t>
  </si>
  <si>
    <t>Ian</t>
  </si>
  <si>
    <t>Julie</t>
  </si>
  <si>
    <t>Karl</t>
  </si>
  <si>
    <t>departure</t>
  </si>
  <si>
    <t>destination</t>
  </si>
  <si>
    <t>from</t>
  </si>
  <si>
    <t>to</t>
  </si>
  <si>
    <t>ZRH</t>
  </si>
  <si>
    <t>GVA</t>
  </si>
  <si>
    <t>07H00</t>
  </si>
  <si>
    <t>07H30</t>
  </si>
  <si>
    <t>08H00</t>
  </si>
  <si>
    <t>08H30</t>
  </si>
  <si>
    <t>CPX</t>
  </si>
  <si>
    <t>09H30</t>
  </si>
  <si>
    <t>NIC</t>
  </si>
  <si>
    <t>09H00</t>
  </si>
  <si>
    <t>11H00</t>
  </si>
  <si>
    <t>10H00</t>
  </si>
  <si>
    <t>11H30</t>
  </si>
  <si>
    <t>pid</t>
  </si>
  <si>
    <t>eid</t>
  </si>
  <si>
    <t>ename</t>
  </si>
  <si>
    <t>pname</t>
  </si>
  <si>
    <t>Special conditions: NATURAL, LEFT, RIGHT, OUTER, LEFTSEMI, RIGHTSEMI, LEFTANTISEMI, RIGHTANTISEMI</t>
  </si>
  <si>
    <t>pid::pname::price</t>
  </si>
  <si>
    <t>returns always false, so zero rows</t>
  </si>
  <si>
    <t>X not in relation, so zero rows</t>
  </si>
  <si>
    <t>#ERROR NUMERIC HEADER</t>
  </si>
  <si>
    <t>pid::pname</t>
  </si>
  <si>
    <t>pid::pname 
1::Sony</t>
  </si>
  <si>
    <t>#ERROR CONDITION LINE  5 : =(VALUE("x")&lt;4)</t>
  </si>
  <si>
    <t>#ERROR CALCULATION LINE  2 : =("Hard drive"blabla")</t>
  </si>
  <si>
    <t>#ERROR CALCULATION LINE  2 : =(1/0)</t>
  </si>
  <si>
    <t>id::blabla::c2</t>
  </si>
  <si>
    <t>#ERROR FIELD NOT MATCH foo</t>
  </si>
  <si>
    <t>foo</t>
  </si>
  <si>
    <t>#ERROR FIELD NOT MATCH Panasonic</t>
  </si>
  <si>
    <t>#ERROR CONDITION LINE  2/ 2 : =(blabla)</t>
  </si>
  <si>
    <t>pid::pname::price::eid::ename</t>
  </si>
  <si>
    <t>pid::pname
1::Sony</t>
  </si>
  <si>
    <t>The relational model is simplified. A relation is defined as a 2d-table, columns have a name (first row) but no type.</t>
  </si>
  <si>
    <t>However, neither rows nor columns are ordered (except with relOrder function) and do not have duplicates</t>
  </si>
  <si>
    <t>sum 1000/2000</t>
  </si>
  <si>
    <t>pid::pname::price _x000D_5::Monitor::240</t>
  </si>
  <si>
    <t>pid::pname::price 
_x000D_1::Hard drive::240 
_x000D_2::Memory::120 
_x000D_3::ZIP drive::150 
_x000D_4::Floppy disk::5 
_x000D_5::Monitor::240 
_x000D_6::DVD drive::180 
_x000D_7::CD drive::90 
_x000D_8::Printer::270 
_x000D_9::Toner cartridge::66 
_x000D_10::DVD burner::180</t>
  </si>
  <si>
    <t>eid::ename 
_x000D_1::Sony 
_x000D_2::Creative Labs 
_x000D_3::Hewlett Packard 
_x000D_4::Iomega 
_x000D_5::Fujitsu 
_x000D_6::Winchester</t>
  </si>
  <si>
    <t>eid::ename 
_x000D_2::Creative Labs 
_x000D_3::Hewlett Packard 
_x000D_4::Iomega 
_x000D_x::Fujitsu 
_x000D_y::Winchester</t>
  </si>
  <si>
    <t>pid::pname::price 
_x000D_1::Hard drive::240 
_x000D_2::Memory::120 
_x000D_3::ZIP drive::150</t>
  </si>
  <si>
    <t>pid::pname::price 
_x000D_2::Memory::120 
_x000D_5::Monitor::240</t>
  </si>
  <si>
    <t>eid::ename 
_x000D_2::Creative Labs 
_x000D_3::Hewlett Packard 
_x000D_x::Fujitsu 
_x000D_y::Winchester</t>
  </si>
  <si>
    <t>eid::ename 
_x000D_3::Hewlett Packard 
_x000D_4::Iomega</t>
  </si>
  <si>
    <t>pid::pname 
_x000D_1::Hard drive 
_x000D_2::Memory 
_x000D_3::ZIP drive 
_x000D_4::Floppy disk 
_x000D_5::Monitor 
_x000D_6::DVD drive 
_x000D_7::CD drive 
_x000D_8::Printer 
_x000D_9::Toner cartridge 
_x000D_10::DVD burner</t>
  </si>
  <si>
    <t>price::pname 
_x000D_240::Hard drive 
_x000D_120::Memory 
_x000D_150::ZIP drive 
_x000D_5::Floppy disk 
_x000D_240::Monitor 
_x000D_180::DVD drive 
_x000D_90::CD drive 
_x000D_270::Printer 
_x000D_66::Toner cartridge 
_x000D_180::DVD burner</t>
  </si>
  <si>
    <t>price_sum 
_x000D_1541</t>
  </si>
  <si>
    <t>1_count 
_x000D_0</t>
  </si>
  <si>
    <t>pid::pname::price::pid2 
_x000D_1::Hard drive::240::2 
_x000D_2::Memory::120::4 
_x000D_3::ZIP drive::150::6 
_x000D_4::Floppy disk::5::8 
_x000D_5::Monitor::240::10 
_x000D_6::DVD drive::180::12 
_x000D_7::CD drive::90::14 
_x000D_8::Printer::270::16 
_x000D_9::Toner cartridge::66::18 
_x000D_10::DVD burner::180::20</t>
  </si>
  <si>
    <t>pid::pname::price::c3 
_x000D_1::Hard drive::240::.22 
_x000D_2::Memory::120::.44 
_x000D_3::ZIP drive::150::.66 
_x000D_4::Floppy disk::5::.88 
_x000D_5::Monitor::240::1.1 
_x000D_6::DVD drive::180::1.32 
_x000D_7::CD drive::90::1.54 
_x000D_8::Printer::270::1.76 
_x000D_9::Toner cartridge::66::1.98 
_x000D_10::DVD burner::180::2.2</t>
  </si>
  <si>
    <t>eid::ename 
_x000D_1::Sony 
_x000D_5::Fujitsu 
_x000D_6::Winchester</t>
  </si>
  <si>
    <t>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t>
  </si>
  <si>
    <t>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t>
  </si>
  <si>
    <t>pid::pname::price::eid::ename 
_x000D_1::Hard drive::240::1::Sony 
_x000D_2::Memory::120::2::Creative Labs 
_x000D_3::ZIP drive::150::3::Hewlett Packard 
_x000D_4::Floppy disk::5::4::Iomega 
_x000D_5::Monitor::240::5::Fujitsu 
_x000D_6::DVD drive::180::6::Winchester</t>
  </si>
  <si>
    <t>eid::ename 
_x000D_2::Creative Labs 
_x000D_3::Hewlett Packard 
_x000D_4::Iomega</t>
  </si>
  <si>
    <t>pid_1::pname_1::price 
_x000D_1_1::Hard drive_1::240 
_x000D_2_1::Memory_1::120 
_x000D_3_1::ZIP drive_1::150 
_x000D_4_1::Floppy disk_1::5 
_x000D_5_1::Monitor_1::240 
_x000D_6_1::DVD drive_1::180 
_x000D_7_1::CD drive_1::90 
_x000D_8_1::Printer_1::270 
_x000D_9_1::Toner cartridge_1::66 
_x000D_10_1::DVD burner_1::180_1::pid_2::pname_2::price 
_x000D_1_2::Hard drive_2::240 
_x000D_2_2::Memory_2::120 
_x000D_3_2::ZIP drive_2::150 
_x000D_4_2::Floppy disk_2::5 
_x000D_5_2::Monitor_2::240 
_x000D_6_2::DVD drive_2::180 
_x000D_7_2::CD drive_2::90 
_x000D_8_2::Printer_2::270 
_x000D_9_2::Toner cartridge_2::66 
_x000D_10_2::DVD burner_2::180_2</t>
  </si>
  <si>
    <t>pid::pname::price 
_x000D_8::Printer::270 
_x000D_1::Hard drive::240 
_x000D_5::Monitor::240 
_x000D_10::DVD burner::180 
_x000D_6::DVD drive::180 
_x000D_3::ZIP drive::150 
_x000D_2::Memory::120 
_x000D_7::CD drive::90 
_x000D_9::Toner cartridge::66 
_x000D_4::Floppy disk::5</t>
  </si>
  <si>
    <t>ERROR COLUMN blabla</t>
  </si>
  <si>
    <t>#ERROR COLUMN: 0</t>
  </si>
  <si>
    <t>eid::ename 
_x000D_1::Sony 
_x000D_2::Creative Labs 
_x000D_3::Hewlett Packard 
_x000D_4::Iomega 
_x000D_5::Fujitsu 
_x000D_6::Winchester 
_x000D_x::Fujitsu 
_x000D_y::Winchester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</si>
</sst>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i/>
      <sz val="12"/>
      <color theme="1"/>
      <name val="Calibri"/>
      <family val="2"/>
      <scheme val="minor"/>
    </font>
    <font>
      <i/>
      <sz val="12"/>
      <color rgb="FF000000"/>
      <name val="Calibri"/>
      <family val="2"/>
      <scheme val="minor"/>
    </font>
    <font>
      <i/>
      <sz val="12"/>
      <color theme="1"/>
      <name val="Calibri"/>
      <family val="2"/>
      <scheme val="minor"/>
    </font>
  </fonts>
  <fills count="2">
    <fill>
      <patternFill patternType="none"/>
    </fill>
    <fill>
      <patternFill patternType="gray125"/>
    </fill>
  </fills>
  <borders count="1">
    <border>
      <left/>
      <right/>
      <top/>
      <bottom/>
      <diagonal/>
    </border>
  </borders>
  <cellStyleXfs count="350">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6">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6" fillId="0" borderId="0" xfId="0" applyFont="1" applyAlignment="1">
      <alignment vertical="top" wrapText="1"/>
    </xf>
    <xf numFmtId="16" fontId="0" fillId="0" borderId="0" xfId="0" applyNumberFormat="1"/>
    <xf numFmtId="0" fontId="4" fillId="0" borderId="0" xfId="0" applyFont="1" applyAlignment="1">
      <alignment wrapText="1"/>
    </xf>
    <xf numFmtId="0" fontId="8" fillId="0" borderId="0" xfId="0" applyFont="1"/>
    <xf numFmtId="0" fontId="4" fillId="0" borderId="0" xfId="0" applyFont="1" applyAlignment="1"/>
    <xf numFmtId="0" fontId="0" fillId="0" borderId="0" xfId="0" applyFont="1" applyAlignment="1"/>
  </cellXfs>
  <cellStyles count="35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elation-for-excel-20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prelNewline"/>
      <definedName name="relAssert"/>
      <definedName name="relCell"/>
      <definedName name="relCellArray"/>
      <definedName name="reldifference"/>
      <definedName name="relExtend"/>
      <definedName name="relFilter"/>
      <definedName name="relFixpoint"/>
      <definedName name="relIntersect"/>
      <definedName name="relJoin"/>
      <definedName name="relLike"/>
      <definedName name="relLimit"/>
      <definedName name="relOrder"/>
      <definedName name="relProject"/>
      <definedName name="relRange"/>
      <definedName name="relRename"/>
      <definedName name="relRotate"/>
      <definedName name="relSelect"/>
      <definedName name="relUnion"/>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151"/>
  <sheetViews>
    <sheetView showRuler="0" zoomScaleNormal="100" zoomScalePageLayoutView="81" workbookViewId="0">
      <selection activeCell="E133" sqref="E133"/>
    </sheetView>
  </sheetViews>
  <sheetFormatPr baseColWidth="10" defaultRowHeight="16" x14ac:dyDescent="0.2"/>
  <cols>
    <col min="4" max="4" width="49.6640625" customWidth="1"/>
    <col min="7" max="7" width="58.6640625" customWidth="1"/>
    <col min="8" max="8" width="30.33203125" customWidth="1"/>
    <col min="9" max="9" width="30.5" customWidth="1"/>
  </cols>
  <sheetData>
    <row r="1" spans="1:9" x14ac:dyDescent="0.2">
      <c r="A1" s="2" t="s">
        <v>229</v>
      </c>
    </row>
    <row r="2" spans="1:9" x14ac:dyDescent="0.2">
      <c r="A2" s="10" t="s">
        <v>19</v>
      </c>
    </row>
    <row r="3" spans="1:9" x14ac:dyDescent="0.2">
      <c r="A3" s="10" t="s">
        <v>346</v>
      </c>
    </row>
    <row r="4" spans="1:9" x14ac:dyDescent="0.2">
      <c r="A4" s="10" t="s">
        <v>347</v>
      </c>
    </row>
    <row r="5" spans="1:9" x14ac:dyDescent="0.2">
      <c r="A5" s="10" t="s">
        <v>25</v>
      </c>
    </row>
    <row r="6" spans="1:9" x14ac:dyDescent="0.2">
      <c r="A6" s="10" t="s">
        <v>26</v>
      </c>
    </row>
    <row r="7" spans="1:9" x14ac:dyDescent="0.2">
      <c r="A7" s="10" t="s">
        <v>31</v>
      </c>
    </row>
    <row r="8" spans="1:9" x14ac:dyDescent="0.2">
      <c r="A8" s="10" t="s">
        <v>248</v>
      </c>
    </row>
    <row r="10" spans="1:9" x14ac:dyDescent="0.2">
      <c r="A10" t="s">
        <v>20</v>
      </c>
    </row>
    <row r="12" spans="1:9" x14ac:dyDescent="0.2">
      <c r="A12" s="2" t="s">
        <v>22</v>
      </c>
      <c r="C12" s="2" t="s">
        <v>23</v>
      </c>
      <c r="D12" s="2"/>
      <c r="F12" s="2" t="s">
        <v>24</v>
      </c>
      <c r="G12" s="2"/>
    </row>
    <row r="13" spans="1:9" x14ac:dyDescent="0.2">
      <c r="C13" t="s">
        <v>0</v>
      </c>
      <c r="D13" t="s">
        <v>1</v>
      </c>
      <c r="F13" t="s">
        <v>0</v>
      </c>
      <c r="G13" t="s">
        <v>1</v>
      </c>
      <c r="H13" t="s">
        <v>7</v>
      </c>
      <c r="I13" t="s">
        <v>8</v>
      </c>
    </row>
    <row r="14" spans="1:9" x14ac:dyDescent="0.2">
      <c r="C14">
        <v>1</v>
      </c>
      <c r="D14" t="s">
        <v>2</v>
      </c>
      <c r="F14">
        <v>1</v>
      </c>
      <c r="G14" t="s">
        <v>9</v>
      </c>
      <c r="H14">
        <v>240</v>
      </c>
      <c r="I14">
        <v>5</v>
      </c>
    </row>
    <row r="15" spans="1:9" x14ac:dyDescent="0.2">
      <c r="C15">
        <v>2</v>
      </c>
      <c r="D15" t="s">
        <v>3</v>
      </c>
      <c r="F15">
        <v>2</v>
      </c>
      <c r="G15" t="s">
        <v>10</v>
      </c>
      <c r="H15">
        <v>120</v>
      </c>
      <c r="I15">
        <v>6</v>
      </c>
    </row>
    <row r="16" spans="1:9" x14ac:dyDescent="0.2">
      <c r="C16">
        <v>3</v>
      </c>
      <c r="D16" t="s">
        <v>4</v>
      </c>
      <c r="F16">
        <v>3</v>
      </c>
      <c r="G16" t="s">
        <v>11</v>
      </c>
      <c r="H16">
        <v>150</v>
      </c>
      <c r="I16">
        <v>4</v>
      </c>
    </row>
    <row r="17" spans="1:10" x14ac:dyDescent="0.2">
      <c r="C17">
        <v>4</v>
      </c>
      <c r="D17" t="s">
        <v>21</v>
      </c>
      <c r="F17">
        <v>4</v>
      </c>
      <c r="G17" t="s">
        <v>12</v>
      </c>
      <c r="H17">
        <v>5</v>
      </c>
      <c r="I17">
        <v>6</v>
      </c>
    </row>
    <row r="18" spans="1:10" x14ac:dyDescent="0.2">
      <c r="C18">
        <v>5</v>
      </c>
      <c r="D18" t="s">
        <v>5</v>
      </c>
      <c r="F18">
        <v>5</v>
      </c>
      <c r="G18" t="s">
        <v>13</v>
      </c>
      <c r="H18">
        <v>240</v>
      </c>
      <c r="I18">
        <v>1</v>
      </c>
    </row>
    <row r="19" spans="1:10" x14ac:dyDescent="0.2">
      <c r="C19">
        <v>6</v>
      </c>
      <c r="D19" t="s">
        <v>6</v>
      </c>
      <c r="F19">
        <v>6</v>
      </c>
      <c r="G19" t="s">
        <v>14</v>
      </c>
      <c r="H19">
        <v>180</v>
      </c>
      <c r="I19">
        <v>2</v>
      </c>
    </row>
    <row r="20" spans="1:10" x14ac:dyDescent="0.2">
      <c r="F20">
        <v>7</v>
      </c>
      <c r="G20" t="s">
        <v>15</v>
      </c>
      <c r="H20">
        <v>90</v>
      </c>
      <c r="I20">
        <v>2</v>
      </c>
    </row>
    <row r="21" spans="1:10" x14ac:dyDescent="0.2">
      <c r="F21">
        <v>8</v>
      </c>
      <c r="G21" t="s">
        <v>16</v>
      </c>
      <c r="H21">
        <v>270</v>
      </c>
      <c r="I21">
        <v>3</v>
      </c>
    </row>
    <row r="22" spans="1:10" x14ac:dyDescent="0.2">
      <c r="F22">
        <v>9</v>
      </c>
      <c r="G22" t="s">
        <v>17</v>
      </c>
      <c r="H22">
        <v>66</v>
      </c>
      <c r="I22">
        <v>3</v>
      </c>
    </row>
    <row r="23" spans="1:10" x14ac:dyDescent="0.2">
      <c r="F23">
        <v>10</v>
      </c>
      <c r="G23" t="s">
        <v>18</v>
      </c>
      <c r="H23">
        <v>180</v>
      </c>
      <c r="I23">
        <v>2</v>
      </c>
    </row>
    <row r="25" spans="1:10" x14ac:dyDescent="0.2">
      <c r="A25" s="2" t="s">
        <v>27</v>
      </c>
      <c r="D25" s="2" t="str">
        <f ca="1">_xlfn.FORMULATEXT(D26)</f>
        <v>=relRange(C13:D19)</v>
      </c>
      <c r="G25" s="2" t="str">
        <f ca="1">_xlfn.FORMULATEXT(G26)</f>
        <v>=relRange(F13:I23)</v>
      </c>
      <c r="H25" s="2" t="str">
        <f ca="1">_xlfn.FORMULATEXT(H26)</f>
        <v>=relRange(F14:I23, 0)</v>
      </c>
      <c r="J25" s="2"/>
    </row>
    <row r="26" spans="1:10" ht="156" customHeight="1" x14ac:dyDescent="0.2">
      <c r="D26" s="1" t="str">
        <f>[1]!relRange(C13:D19)</f>
        <v>code::name _x000D_1::Sony _x000D_2::Creative Labs _x000D_3::Hewlett Packard _x000D_4::Iomega _x000D_5::Fujitsu _x000D_6::Winchester</v>
      </c>
      <c r="G26" s="1" t="str">
        <f>[1]!relRange(F13:I23)</f>
        <v>code::name::price::manufacturer _x000D_1::Hard drive::240::5 _x000D_2::Memory::120::6 _x000D_3::ZIP drive::150::4 _x000D_4::Floppy disk::5::6 _x000D_5::Monitor::240::1 _x000D_6::DVD drive::180::2 _x000D_7::CD drive::90::2 _x000D_8::Printer::270::3 _x000D_9::Toner cartridge::66::3 _x000D_10::DVD burner::180::2</v>
      </c>
      <c r="H26" s="13" t="str">
        <f>[1]!relRange(F14:I23, 0)</f>
        <v>c1::c2::c3::c4 _x000D_1::Hard drive::240::5 _x000D_2::Memory::120::6 _x000D_3::ZIP drive::150::4 _x000D_4::Floppy disk::5::6 _x000D_5::Monitor::240::1 _x000D_6::DVD drive::180::2 _x000D_7::CD drive::90::2 _x000D_8::Printer::270::3 _x000D_9::Toner cartridge::66::3</v>
      </c>
    </row>
    <row r="27" spans="1:10" x14ac:dyDescent="0.2">
      <c r="A27" s="4" t="s">
        <v>28</v>
      </c>
    </row>
    <row r="28" spans="1:10" x14ac:dyDescent="0.2">
      <c r="A28" t="s">
        <v>255</v>
      </c>
    </row>
    <row r="30" spans="1:10" x14ac:dyDescent="0.2">
      <c r="A30" s="2" t="s">
        <v>29</v>
      </c>
      <c r="D30" s="2" t="str">
        <f ca="1">_xlfn.FORMULATEXT(D31)</f>
        <v>=relSelect(D26, "%code&gt;3")</v>
      </c>
      <c r="G30" s="2" t="str">
        <f ca="1">_xlfn.FORMULATEXT(G31)</f>
        <v>=relSelect(G26, "LEFT($name)=""M""")</v>
      </c>
      <c r="H30" s="2" t="str">
        <f ca="1">_xlfn.FORMULATEXT(H31)</f>
        <v>=relSelect(G26, "LEFT($2)=""T""")</v>
      </c>
    </row>
    <row r="31" spans="1:10" ht="34" x14ac:dyDescent="0.2">
      <c r="D31" s="1" t="str">
        <f>[1]!relSelect(D26, "%code&gt;3")</f>
        <v>code::name _x000D_4::Iomega _x000D_5::Fujitsu _x000D_6::Winchester</v>
      </c>
      <c r="G31" s="1" t="str">
        <f>[1]!relSelect(G26, "LEFT($name)=""M""")</f>
        <v>code::name::price::manufacturer _x000D_2::Memory::120::6 _x000D_5::Monitor::240::1</v>
      </c>
      <c r="H31" s="1" t="str">
        <f>[1]!relSelect(G26, "LEFT($2)=""T""")</f>
        <v>code::name::price::manufacturer _x000D_9::Toner cartridge::66::3</v>
      </c>
    </row>
    <row r="32" spans="1:10" x14ac:dyDescent="0.2">
      <c r="A32" t="s">
        <v>256</v>
      </c>
    </row>
    <row r="33" spans="1:8" x14ac:dyDescent="0.2">
      <c r="A33" t="s">
        <v>62</v>
      </c>
    </row>
    <row r="35" spans="1:8" x14ac:dyDescent="0.2">
      <c r="A35" s="2" t="s">
        <v>30</v>
      </c>
      <c r="D35" s="2" t="str">
        <f ca="1">_xlfn.FORMULATEXT(D36)</f>
        <v>=relProject(D26,"code")</v>
      </c>
      <c r="E35" s="2" t="str">
        <f ca="1">_xlfn.FORMULATEXT(E36)</f>
        <v>=relProject(D26, "2")</v>
      </c>
      <c r="G35" s="2" t="str">
        <f ca="1">_xlfn.FORMULATEXT(G36)</f>
        <v>=relProject(G26, "name::price")</v>
      </c>
      <c r="H35" s="2" t="str">
        <f ca="1">_xlfn.FORMULATEXT(H36)</f>
        <v>=relProject(G31, "price SUM")</v>
      </c>
    </row>
    <row r="36" spans="1:8" ht="161" customHeight="1" x14ac:dyDescent="0.2">
      <c r="D36" s="1" t="str">
        <f>[1]!relProject(D26,"code")</f>
        <v>code _x000D_1 _x000D_2 _x000D_3 _x000D_4 _x000D_5 _x000D_6</v>
      </c>
      <c r="E36" s="14" t="str">
        <f>[1]!relProject(D26, "2")</f>
        <v>name _x000D_Sony _x000D_Creative Labs _x000D_Hewlett Packard _x000D_Iomega _x000D_Fujitsu _x000D_Winchester</v>
      </c>
      <c r="G36" s="1" t="str">
        <f>[1]!relProject(G26, "name::price")</f>
        <v>name::price _x000D_Hard drive::240 _x000D_Memory::120 _x000D_ZIP drive::150 _x000D_Floppy disk::5 _x000D_Monitor::240 _x000D_DVD drive::180 _x000D_CD drive::90 _x000D_Printer::270 _x000D_Toner cartridge::66 _x000D_DVD burner::180</v>
      </c>
      <c r="H36" s="1" t="str">
        <f>[1]!relProject(G31, "price SUM")</f>
        <v>price_sum _x000D_360</v>
      </c>
    </row>
    <row r="37" spans="1:8" x14ac:dyDescent="0.2">
      <c r="A37" t="s">
        <v>82</v>
      </c>
    </row>
    <row r="39" spans="1:8" x14ac:dyDescent="0.2">
      <c r="A39" s="2" t="s">
        <v>32</v>
      </c>
      <c r="D39" s="2" t="str">
        <f ca="1">_xlfn.FORMULATEXT(D40)</f>
        <v>=relExtend(D36,"%code*2","name")</v>
      </c>
      <c r="G39" s="2" t="str">
        <f ca="1">_xlfn.FORMULATEXT(G40)</f>
        <v>=relExtend(G36,"LEFT($name,1)")</v>
      </c>
    </row>
    <row r="40" spans="1:8" ht="146" customHeight="1" x14ac:dyDescent="0.2">
      <c r="D40" s="1" t="str">
        <f>[1]!relExtend(D36,"%code*2","name")</f>
        <v>code::name _x000D_1::2 _x000D_2::4 _x000D_3::6 _x000D_4::8 _x000D_5::10 _x000D_6::12</v>
      </c>
      <c r="G40" s="1" t="str">
        <f>[1]!relExtend(G36,"LEFT($name,1)")</f>
        <v>name::price::c2 _x000D_Hard drive::240::H _x000D_Memory::120::M _x000D_ZIP drive::150::Z _x000D_Floppy disk::5::F _x000D_Monitor::240::M _x000D_DVD drive::180::D _x000D_CD drive::90::C _x000D_Printer::270::P _x000D_Toner cartridge::66::T _x000D_DVD burner::180::D</v>
      </c>
    </row>
    <row r="41" spans="1:8" x14ac:dyDescent="0.2">
      <c r="A41" t="s">
        <v>258</v>
      </c>
    </row>
    <row r="42" spans="1:8" x14ac:dyDescent="0.2">
      <c r="A42" t="s">
        <v>257</v>
      </c>
    </row>
    <row r="43" spans="1:8" x14ac:dyDescent="0.2">
      <c r="A43" s="2" t="s">
        <v>262</v>
      </c>
      <c r="D43" s="2" t="str">
        <f ca="1">_xlfn.FORMULATEXT(D44)</f>
        <v>=relRename(D40,"code cd::name nm")</v>
      </c>
      <c r="G43" s="2" t="str">
        <f ca="1">_xlfn.FORMULATEXT(G44)</f>
        <v>=relRename(G40,"code cd::2 nm")</v>
      </c>
    </row>
    <row r="44" spans="1:8" ht="51" x14ac:dyDescent="0.2">
      <c r="D44" s="1" t="str">
        <f>[1]!relRename(D40,"code cd::name nm")</f>
        <v>cd::nm _x000D_1::2 _x000D_2::4 _x000D_3::6 _x000D_4::8 _x000D_5::10 _x000D_6::12</v>
      </c>
      <c r="G44" s="1" t="str">
        <f>[1]!relRename(G40,"code cd::2 nm")</f>
        <v>name::nm::c2 _x000D_Hard drive::240::H _x000D_Memory::120::M _x000D_ZIP drive::150::Z _x000D_Floppy disk::5::F _x000D_Monitor::240::M _x000D_DVD drive::180::D _x000D_CD drive::90::C _x000D_Printer::270::P _x000D_Toner cartridge::66::T _x000D_DVD burner::180::D</v>
      </c>
    </row>
    <row r="46" spans="1:8" x14ac:dyDescent="0.2">
      <c r="A46" s="2" t="s">
        <v>33</v>
      </c>
      <c r="D46" s="2" t="str">
        <f ca="1">_xlfn.FORMULATEXT(D47)</f>
        <v>=relUnion(D26,D40)</v>
      </c>
      <c r="G46" s="2" t="str">
        <f ca="1">_xlfn.FORMULATEXT(G47)</f>
        <v>=relUnion(H31,G31)</v>
      </c>
    </row>
    <row r="47" spans="1:8" ht="181" customHeight="1" x14ac:dyDescent="0.2">
      <c r="A47" s="9"/>
      <c r="B47" s="9"/>
      <c r="C47" s="9"/>
      <c r="D47" s="1" t="str">
        <f>[1]!relUnion(D26,D40)</f>
        <v>code::name _x000D_1::Sony _x000D_2::Creative Labs _x000D_3::Hewlett Packard _x000D_4::Iomega _x000D_5::Fujitsu _x000D_6::Winchester _x000D_1::2 _x000D_2::4 _x000D_3::6 _x000D_4::8 _x000D_5::10 _x000D_6::12</v>
      </c>
      <c r="E47" s="9"/>
      <c r="F47" s="9"/>
      <c r="G47" s="1" t="str">
        <f>[1]!relUnion(H31,G31)</f>
        <v>code::name::price::manufacturer _x000D_9::Toner cartridge::66::3 _x000D_2::Memory::120::6 _x000D_5::Monitor::240::1</v>
      </c>
    </row>
    <row r="48" spans="1:8" x14ac:dyDescent="0.2">
      <c r="A48" t="s">
        <v>259</v>
      </c>
    </row>
    <row r="50" spans="1:9" x14ac:dyDescent="0.2">
      <c r="A50" s="2" t="s">
        <v>34</v>
      </c>
      <c r="D50" s="2" t="str">
        <f ca="1">_xlfn.FORMULATEXT(D51)</f>
        <v>=reldifference(D47,D40)</v>
      </c>
      <c r="G50" s="2" t="str">
        <f ca="1">_xlfn.FORMULATEXT(G51)</f>
        <v>=reldifference(G26,G47)</v>
      </c>
    </row>
    <row r="51" spans="1:9" ht="95" customHeight="1" x14ac:dyDescent="0.2">
      <c r="D51" s="1" t="str">
        <f>[1]!reldifference(D47,D40)</f>
        <v>code::name _x000D_1::Sony _x000D_2::Creative Labs _x000D_3::Hewlett Packard _x000D_4::Iomega _x000D_5::Fujitsu _x000D_6::Winchester</v>
      </c>
      <c r="G51" s="1" t="str">
        <f>[1]!reldifference(G26,G47)</f>
        <v>code::name::price::manufacturer _x000D_1::Hard drive::240::5 _x000D_3::ZIP drive::150::4 _x000D_4::Floppy disk::5::6 _x000D_6::DVD drive::180::2 _x000D_7::CD drive::90::2 _x000D_8::Printer::270::3 _x000D_10::DVD burner::180::2</v>
      </c>
    </row>
    <row r="52" spans="1:9" x14ac:dyDescent="0.2">
      <c r="A52" t="s">
        <v>264</v>
      </c>
    </row>
    <row r="54" spans="1:9" x14ac:dyDescent="0.2">
      <c r="A54" s="2" t="s">
        <v>263</v>
      </c>
      <c r="D54" s="2" t="e">
        <f ca="1">_1__xlfn.FORMULATEXT(D55)</f>
        <v>#NAME?</v>
      </c>
    </row>
    <row r="55" spans="1:9" ht="145.25" customHeight="1" x14ac:dyDescent="0.2">
      <c r="D55" s="14" t="str">
        <f>[1]!relIntersect(D47,D51)</f>
        <v>code::name _x000D_1::Sony _x000D_2::Creative Labs _x000D_3::Hewlett Packard _x000D_4::Iomega _x000D_5::Fujitsu _x000D_6::Winchester</v>
      </c>
    </row>
    <row r="57" spans="1:9" x14ac:dyDescent="0.2">
      <c r="A57" s="2" t="s">
        <v>35</v>
      </c>
      <c r="D57" s="2" t="e">
        <f ca="1">_1__xlfn.FORMULATEXT(D58)</f>
        <v>#NAME?</v>
      </c>
      <c r="G57" s="2" t="str">
        <f ca="1">_xlfn.FORMULATEXT(G58)</f>
        <v>=relJoin(H58,I58,"NATURAL")</v>
      </c>
      <c r="H57" s="2" t="str">
        <f ca="1">_xlfn.FORMULATEXT(H58)</f>
        <v>=relRename(D26,"name manufacturerlabel::code manufacturer")</v>
      </c>
      <c r="I57" s="2" t="str">
        <f ca="1">_xlfn.FORMULATEXT(I58)</f>
        <v>=relSelect(G26,"%code&gt;5")</v>
      </c>
    </row>
    <row r="58" spans="1:9" ht="172" customHeight="1" x14ac:dyDescent="0.2">
      <c r="D58" s="1" t="str">
        <f>[1]!relJoin(D26,G26,"%1=%6")</f>
        <v>code_1::name_1::code_2::name_2::price::manufacturer _x000D_1::Sony::5::Monitor::240::1 _x000D_2::Creative Labs::6::DVD drive::180::2 _x000D_2::Creative Labs::7::CD drive::90::2 _x000D_2::Creative Labs::10::DVD burner::180::2 _x000D_3::Hewlett Packard::8::Printer::270::3 _x000D_3::Hewlett Packard::9::Toner cartridge::66::3 _x000D_4::Iomega::3::ZIP drive::150::4 _x000D_5::Fujitsu::1::Hard drive::240::5 _x000D_6::Winchester::2::Memory::120::6 _x000D_6::Winchester::4::Floppy disk::5::6</v>
      </c>
      <c r="G58" s="3" t="str">
        <f>[1]!relJoin(H58,I58,"NATURAL")</f>
        <v>manufacturer::manufacturerlabel::code::name::price _x000D_2::Creative Labs::6::DVD drive::180 _x000D_2::Creative Labs::7::CD drive::90 _x000D_2::Creative Labs::10::DVD burner::180 _x000D_3::Hewlett Packard::8::Printer::270 _x000D_3::Hewlett Packard::9::Toner cartridge::66</v>
      </c>
      <c r="H58" s="1" t="str">
        <f>[1]!relRename(D26,"name manufacturerlabel::code manufacturer")</f>
        <v>manufacturer::manufacturerlabel _x000D_1::Sony _x000D_2::Creative Labs _x000D_3::Hewlett Packard _x000D_4::Iomega _x000D_5::Fujitsu _x000D_6::Winchester</v>
      </c>
      <c r="I58" s="1" t="str">
        <f>[1]!relSelect(G26,"%code&gt;5")</f>
        <v>code::name::price::manufacturer _x000D_6::DVD drive::180::2 _x000D_7::CD drive::90::2 _x000D_8::Printer::270::3 _x000D_9::Toner cartridge::66::3 _x000D_10::DVD burner::180::2</v>
      </c>
    </row>
    <row r="59" spans="1:9" x14ac:dyDescent="0.2">
      <c r="A59" t="s">
        <v>261</v>
      </c>
      <c r="G59" s="3"/>
    </row>
    <row r="60" spans="1:9" x14ac:dyDescent="0.2">
      <c r="A60" t="s">
        <v>260</v>
      </c>
      <c r="G60" s="3"/>
    </row>
    <row r="61" spans="1:9" x14ac:dyDescent="0.2">
      <c r="A61" t="s">
        <v>329</v>
      </c>
      <c r="G61" s="3"/>
    </row>
    <row r="62" spans="1:9" x14ac:dyDescent="0.2">
      <c r="A62" t="s">
        <v>36</v>
      </c>
      <c r="G62" s="3"/>
    </row>
    <row r="63" spans="1:9" x14ac:dyDescent="0.2">
      <c r="A63" t="s">
        <v>37</v>
      </c>
      <c r="G63" s="3"/>
    </row>
    <row r="64" spans="1:9" x14ac:dyDescent="0.2">
      <c r="G64" s="3"/>
    </row>
    <row r="65" spans="1:7" x14ac:dyDescent="0.2">
      <c r="A65" s="2" t="s">
        <v>58</v>
      </c>
      <c r="D65" s="2" t="str">
        <f ca="1">_xlfn.FORMULATEXT(D66)</f>
        <v>=relOrder(D58,"name_1 A::name_2 A")</v>
      </c>
      <c r="G65" s="2" t="str">
        <f ca="1">_xlfn.FORMULATEXT(G66)</f>
        <v>=relOrder(D58,"price 9")</v>
      </c>
    </row>
    <row r="66" spans="1:7" ht="139" customHeight="1" x14ac:dyDescent="0.2">
      <c r="D66" s="1" t="str">
        <f>[1]!relOrder(D58,"name_1 A::name_2 A")</f>
        <v>code_1::name_1::code_2::name_2::price::manufacturer _x000D_2::Creative Labs::7::CD drive::90::2 _x000D_2::Creative Labs::10::DVD burner::180::2 _x000D_2::Creative Labs::6::DVD drive::180::2 _x000D_5::Fujitsu::1::Hard drive::240::5 _x000D_3::Hewlett Packard::8::Printer::270::3 _x000D_3::Hewlett Packard::9::Toner cartridge::66::3 _x000D_4::Iomega::3::ZIP drive::150::4 _x000D_1::Sony::5::Monitor::240::1 _x000D_6::Winchester::4::Floppy disk::5::6 _x000D_6::Winchester::2::Memory::120::6</v>
      </c>
      <c r="G66" s="1" t="str">
        <f>[1]!relOrder(D58,"price 9")</f>
        <v>code_1::name_1::code_2::name_2::price::manufacturer _x000D_3::Hewlett Packard::8::Printer::270::3 _x000D_1::Sony::5::Monitor::240::1 _x000D_5::Fujitsu::1::Hard drive::240::5 _x000D_2::Creative Labs::6::DVD drive::180::2 _x000D_2::Creative Labs::10::DVD burner::180::2 _x000D_4::Iomega::3::ZIP drive::150::4 _x000D_6::Winchester::2::Memory::120::6 _x000D_2::Creative Labs::7::CD drive::90::2 _x000D_3::Hewlett Packard::9::Toner cartridge::66::3 _x000D_6::Winchester::4::Floppy disk::5::6</v>
      </c>
    </row>
    <row r="67" spans="1:7" x14ac:dyDescent="0.2">
      <c r="A67" t="s">
        <v>59</v>
      </c>
      <c r="G67" s="3"/>
    </row>
    <row r="68" spans="1:7" x14ac:dyDescent="0.2">
      <c r="A68" t="s">
        <v>60</v>
      </c>
      <c r="G68" s="3"/>
    </row>
    <row r="69" spans="1:7" x14ac:dyDescent="0.2">
      <c r="A69" t="s">
        <v>61</v>
      </c>
      <c r="G69" s="3"/>
    </row>
    <row r="70" spans="1:7" x14ac:dyDescent="0.2">
      <c r="G70" s="3"/>
    </row>
    <row r="71" spans="1:7" x14ac:dyDescent="0.2">
      <c r="A71" s="2" t="s">
        <v>150</v>
      </c>
      <c r="D71" s="2" t="str">
        <f ca="1">_xlfn.FORMULATEXT(D72)</f>
        <v>=relLimit(D66,6,2)</v>
      </c>
      <c r="G71" s="3"/>
    </row>
    <row r="72" spans="1:7" ht="53.5" customHeight="1" x14ac:dyDescent="0.2">
      <c r="D72" s="1" t="str">
        <f>[1]!relLimit(D66,6,2)</f>
        <v>code_1::name_1::code_2::name_2::price::manufacturer _x000D_3::Hewlett Packard::9::Toner cartridge::66::3 _x000D_4::Iomega::3::ZIP drive::150::4</v>
      </c>
      <c r="G72" s="3"/>
    </row>
    <row r="73" spans="1:7" x14ac:dyDescent="0.2">
      <c r="A73" t="s">
        <v>227</v>
      </c>
      <c r="D73" s="13"/>
      <c r="G73" s="3"/>
    </row>
    <row r="74" spans="1:7" x14ac:dyDescent="0.2">
      <c r="G74" s="3"/>
    </row>
    <row r="75" spans="1:7" x14ac:dyDescent="0.2">
      <c r="A75" s="2" t="s">
        <v>38</v>
      </c>
      <c r="D75" s="2" t="str">
        <f ca="1">_xlfn.FORMULATEXT(D76)</f>
        <v>=relCell(D66,1,2)</v>
      </c>
      <c r="E75" s="2" t="str">
        <f ca="1">_xlfn.FORMULATEXT(E76)</f>
        <v>=relCell(G66,1,1)</v>
      </c>
      <c r="G75" s="2" t="str">
        <f ca="1">_xlfn.FORMULATEXT(G76)</f>
        <v>=relCell(G66,1,1,1)</v>
      </c>
    </row>
    <row r="76" spans="1:7" ht="17" x14ac:dyDescent="0.2">
      <c r="D76" t="str">
        <f>[1]!relCell(D66,1,2)</f>
        <v>Creative Labs</v>
      </c>
      <c r="E76" s="3" t="str">
        <f>[1]!relCell(G66,1,1)</f>
        <v>3</v>
      </c>
      <c r="G76" s="3">
        <f>[1]!relCell(G66,1,1,1)</f>
        <v>3</v>
      </c>
    </row>
    <row r="77" spans="1:7" x14ac:dyDescent="0.2">
      <c r="A77" t="s">
        <v>254</v>
      </c>
    </row>
    <row r="78" spans="1:7" x14ac:dyDescent="0.2">
      <c r="A78" t="s">
        <v>275</v>
      </c>
    </row>
    <row r="79" spans="1:7" x14ac:dyDescent="0.2">
      <c r="A79" t="s">
        <v>102</v>
      </c>
    </row>
    <row r="81" spans="1:7" x14ac:dyDescent="0.2">
      <c r="D81" s="2" t="str">
        <f>"=relCellArray(D59)"</f>
        <v>=relCellArray(D59)</v>
      </c>
    </row>
    <row r="82" spans="1:7" x14ac:dyDescent="0.2">
      <c r="D82" t="str">
        <f t="array" ref="D82:G94">[1]!relCellArray(D66)</f>
        <v>code_1</v>
      </c>
      <c r="E82" t="str">
        <v>name_1</v>
      </c>
      <c r="F82" t="str">
        <v>code_2</v>
      </c>
      <c r="G82" t="str">
        <v>name_2</v>
      </c>
    </row>
    <row r="83" spans="1:7" x14ac:dyDescent="0.2">
      <c r="D83" t="str">
        <v>2</v>
      </c>
      <c r="E83" t="str">
        <v>Creative Labs</v>
      </c>
      <c r="F83" t="str">
        <v>7</v>
      </c>
      <c r="G83" t="str">
        <v>CD drive</v>
      </c>
    </row>
    <row r="84" spans="1:7" x14ac:dyDescent="0.2">
      <c r="D84" t="str">
        <v>2</v>
      </c>
      <c r="E84" t="str">
        <v>Creative Labs</v>
      </c>
      <c r="F84" t="str">
        <v>10</v>
      </c>
      <c r="G84" t="str">
        <v>DVD burner</v>
      </c>
    </row>
    <row r="85" spans="1:7" x14ac:dyDescent="0.2">
      <c r="D85" t="str">
        <v>2</v>
      </c>
      <c r="E85" t="str">
        <v>Creative Labs</v>
      </c>
      <c r="F85" t="str">
        <v>6</v>
      </c>
      <c r="G85" t="str">
        <v>DVD drive</v>
      </c>
    </row>
    <row r="86" spans="1:7" x14ac:dyDescent="0.2">
      <c r="D86" t="str">
        <v>5</v>
      </c>
      <c r="E86" t="str">
        <v>Fujitsu</v>
      </c>
      <c r="F86" t="str">
        <v>1</v>
      </c>
      <c r="G86" t="str">
        <v>Hard drive</v>
      </c>
    </row>
    <row r="87" spans="1:7" x14ac:dyDescent="0.2">
      <c r="D87" t="str">
        <v>3</v>
      </c>
      <c r="E87" t="str">
        <v>Hewlett Packard</v>
      </c>
      <c r="F87" t="str">
        <v>8</v>
      </c>
      <c r="G87" t="str">
        <v>Printer</v>
      </c>
    </row>
    <row r="88" spans="1:7" x14ac:dyDescent="0.2">
      <c r="D88" t="str">
        <v>3</v>
      </c>
      <c r="E88" t="str">
        <v>Hewlett Packard</v>
      </c>
      <c r="F88" t="str">
        <v>9</v>
      </c>
      <c r="G88" t="str">
        <v>Toner cartridge</v>
      </c>
    </row>
    <row r="89" spans="1:7" x14ac:dyDescent="0.2">
      <c r="D89" t="str">
        <v>4</v>
      </c>
      <c r="E89" t="str">
        <v>Iomega</v>
      </c>
      <c r="F89" t="str">
        <v>3</v>
      </c>
      <c r="G89" t="str">
        <v>ZIP drive</v>
      </c>
    </row>
    <row r="90" spans="1:7" x14ac:dyDescent="0.2">
      <c r="D90" t="str">
        <v>1</v>
      </c>
      <c r="E90" t="str">
        <v>Sony</v>
      </c>
      <c r="F90" t="str">
        <v>5</v>
      </c>
      <c r="G90" t="str">
        <v>Monitor</v>
      </c>
    </row>
    <row r="91" spans="1:7" x14ac:dyDescent="0.2">
      <c r="D91" t="str">
        <v>6</v>
      </c>
      <c r="E91" t="str">
        <v>Winchester</v>
      </c>
      <c r="F91" t="str">
        <v>4</v>
      </c>
      <c r="G91" t="str">
        <v>Floppy disk</v>
      </c>
    </row>
    <row r="92" spans="1:7" x14ac:dyDescent="0.2">
      <c r="D92" t="str">
        <v>6</v>
      </c>
      <c r="E92" t="str">
        <v>Winchester</v>
      </c>
      <c r="F92" t="str">
        <v>2</v>
      </c>
      <c r="G92" t="str">
        <v>Memory</v>
      </c>
    </row>
    <row r="93" spans="1:7" x14ac:dyDescent="0.2">
      <c r="D93" t="str">
        <v/>
      </c>
      <c r="E93" t="str">
        <v/>
      </c>
      <c r="F93" t="str">
        <v/>
      </c>
      <c r="G93" t="str">
        <v/>
      </c>
    </row>
    <row r="94" spans="1:7" x14ac:dyDescent="0.2">
      <c r="D94" t="str">
        <v/>
      </c>
      <c r="E94" t="str">
        <v/>
      </c>
      <c r="F94" t="str">
        <v/>
      </c>
      <c r="G94" t="str">
        <v/>
      </c>
    </row>
    <row r="96" spans="1:7" x14ac:dyDescent="0.2">
      <c r="A96" s="2" t="s">
        <v>63</v>
      </c>
      <c r="C96" t="s">
        <v>65</v>
      </c>
      <c r="D96" t="s">
        <v>68</v>
      </c>
      <c r="E96" s="2" t="str">
        <f>"=relLike(C70;D70)"</f>
        <v>=relLike(C70;D70)</v>
      </c>
    </row>
    <row r="97" spans="1:7" x14ac:dyDescent="0.2">
      <c r="C97" t="s">
        <v>64</v>
      </c>
      <c r="D97" t="s">
        <v>64</v>
      </c>
      <c r="E97" t="b">
        <f t="shared" ref="E97:E106" si="0">[1]!relLike(C97,D97)</f>
        <v>1</v>
      </c>
      <c r="G97" t="b">
        <f>[1]!relLike("Hard drive","*ve")</f>
        <v>1</v>
      </c>
    </row>
    <row r="98" spans="1:7" x14ac:dyDescent="0.2">
      <c r="C98" t="s">
        <v>64</v>
      </c>
      <c r="D98" t="s">
        <v>66</v>
      </c>
      <c r="E98" t="b">
        <f t="shared" si="0"/>
        <v>0</v>
      </c>
    </row>
    <row r="99" spans="1:7" x14ac:dyDescent="0.2">
      <c r="C99" t="s">
        <v>64</v>
      </c>
      <c r="D99" t="s">
        <v>67</v>
      </c>
      <c r="E99" t="b">
        <f t="shared" si="0"/>
        <v>0</v>
      </c>
    </row>
    <row r="100" spans="1:7" x14ac:dyDescent="0.2">
      <c r="C100" t="s">
        <v>69</v>
      </c>
      <c r="D100" t="s">
        <v>70</v>
      </c>
      <c r="E100" t="b">
        <f t="shared" si="0"/>
        <v>1</v>
      </c>
    </row>
    <row r="101" spans="1:7" x14ac:dyDescent="0.2">
      <c r="C101" t="s">
        <v>64</v>
      </c>
      <c r="D101" t="s">
        <v>71</v>
      </c>
      <c r="E101" t="b">
        <f t="shared" si="0"/>
        <v>1</v>
      </c>
    </row>
    <row r="102" spans="1:7" x14ac:dyDescent="0.2">
      <c r="C102" t="s">
        <v>64</v>
      </c>
      <c r="D102" t="s">
        <v>72</v>
      </c>
      <c r="E102" t="b">
        <f t="shared" si="0"/>
        <v>0</v>
      </c>
    </row>
    <row r="103" spans="1:7" x14ac:dyDescent="0.2">
      <c r="C103" t="s">
        <v>73</v>
      </c>
      <c r="D103" t="s">
        <v>74</v>
      </c>
      <c r="E103" t="b">
        <f t="shared" si="0"/>
        <v>1</v>
      </c>
    </row>
    <row r="104" spans="1:7" x14ac:dyDescent="0.2">
      <c r="C104" t="s">
        <v>75</v>
      </c>
      <c r="D104" t="s">
        <v>76</v>
      </c>
      <c r="E104" t="b">
        <f t="shared" si="0"/>
        <v>1</v>
      </c>
    </row>
    <row r="105" spans="1:7" x14ac:dyDescent="0.2">
      <c r="C105" t="s">
        <v>77</v>
      </c>
      <c r="D105" t="s">
        <v>78</v>
      </c>
      <c r="E105" t="b">
        <f t="shared" si="0"/>
        <v>1</v>
      </c>
    </row>
    <row r="106" spans="1:7" x14ac:dyDescent="0.2">
      <c r="C106" t="s">
        <v>79</v>
      </c>
      <c r="D106" t="s">
        <v>78</v>
      </c>
      <c r="E106" t="b">
        <f t="shared" si="0"/>
        <v>0</v>
      </c>
    </row>
    <row r="107" spans="1:7" ht="13.75" customHeight="1" x14ac:dyDescent="0.2">
      <c r="D107" s="2" t="str">
        <f ca="1">_xlfn.FORMULATEXT(D108)</f>
        <v>=relSelect(G26,"relLike($2,""*ve"")")</v>
      </c>
    </row>
    <row r="108" spans="1:7" ht="96.5" customHeight="1" x14ac:dyDescent="0.2">
      <c r="D108" s="1" t="str">
        <f>[1]!relSelect(G26,"relLike($2,""*ve"")")</f>
        <v>code::name::price::manufacturer _x000D_1::Hard drive::240::5 _x000D_3::ZIP drive::150::4 _x000D_6::DVD drive::180::2 _x000D_7::CD drive::90::2</v>
      </c>
      <c r="G108" s="1"/>
    </row>
    <row r="109" spans="1:7" x14ac:dyDescent="0.2">
      <c r="A109" t="s">
        <v>80</v>
      </c>
    </row>
    <row r="110" spans="1:7" x14ac:dyDescent="0.2">
      <c r="A110" t="s">
        <v>81</v>
      </c>
    </row>
    <row r="112" spans="1:7" x14ac:dyDescent="0.2">
      <c r="A112" s="2" t="s">
        <v>228</v>
      </c>
      <c r="D112" s="2" t="str">
        <f ca="1">_xlfn.FORMULATEXT(D113)</f>
        <v>=relRotate(G44)</v>
      </c>
      <c r="G112" s="2"/>
    </row>
    <row r="113" spans="1:7" ht="85" x14ac:dyDescent="0.2">
      <c r="D113" s="1" t="str">
        <f>[1]!relRotate(G44)</f>
        <v>name::Hard drive::Memory::ZIP drive::Floppy disk::Monitor::DVD drive::CD drive::Printer::Toner cartridge::DVD burner _x000D_nm::240::120::150::5::240::180::90::270::66::180 _x000D_c2::H::M::Z::F::M::D::C::P::T::D</v>
      </c>
      <c r="G113" s="1"/>
    </row>
    <row r="114" spans="1:7" x14ac:dyDescent="0.2">
      <c r="A114" t="s">
        <v>265</v>
      </c>
    </row>
    <row r="115" spans="1:7" x14ac:dyDescent="0.2">
      <c r="A115" t="s">
        <v>266</v>
      </c>
    </row>
    <row r="117" spans="1:7" x14ac:dyDescent="0.2">
      <c r="A117" s="2" t="s">
        <v>103</v>
      </c>
      <c r="D117" s="2" t="str">
        <f ca="1">_xlfn.FORMULATEXT(D118)</f>
        <v>=relFilter(C13:D19,"S %code&lt;4", "P name")</v>
      </c>
    </row>
    <row r="118" spans="1:7" s="1" customFormat="1" ht="17" x14ac:dyDescent="0.2">
      <c r="D118" s="1" t="str">
        <f>[1]!relFilter(C13:D19,"S %code&lt;4", "P name")</f>
        <v>name _x000D_Sony _x000D_Creative Labs _x000D_Hewlett Packard</v>
      </c>
    </row>
    <row r="119" spans="1:7" x14ac:dyDescent="0.2">
      <c r="D119" s="2" t="str">
        <f ca="1">_xlfn.FORMULATEXT(D120)</f>
        <v>=relFilter(C13:D19,"S %code&lt;4", "P name", "O name A")</v>
      </c>
    </row>
    <row r="120" spans="1:7" ht="59.5" customHeight="1" x14ac:dyDescent="0.2">
      <c r="D120" s="13" t="str">
        <f>[1]!relFilter(C13:D19,"S %code&lt;4", "P name", "O name A")</f>
        <v>name _x000D_Creative Labs _x000D_Hewlett Packard _x000D_Sony</v>
      </c>
    </row>
    <row r="121" spans="1:7" x14ac:dyDescent="0.2">
      <c r="D121" s="2" t="str">
        <f ca="1">_xlfn.FORMULATEXT(D122)</f>
        <v>=relFilter(C13:D19,"S %code&lt;4", "P name", "O name A","L 1 2")</v>
      </c>
    </row>
    <row r="122" spans="1:7" ht="49" customHeight="1" x14ac:dyDescent="0.2">
      <c r="D122" s="3" t="str">
        <f>[1]!relFilter(C13:D19,"S %code&lt;4", "P name", "O name A","L 1 2")</f>
        <v>name _x000D_Creative Labs _x000D_Hewlett Packard</v>
      </c>
    </row>
    <row r="123" spans="1:7" x14ac:dyDescent="0.2">
      <c r="A123" t="s">
        <v>249</v>
      </c>
      <c r="D123" s="22"/>
    </row>
    <row r="124" spans="1:7" x14ac:dyDescent="0.2">
      <c r="A124" s="4" t="s">
        <v>267</v>
      </c>
      <c r="D124" s="22"/>
    </row>
    <row r="125" spans="1:7" x14ac:dyDescent="0.2">
      <c r="A125" s="4" t="s">
        <v>250</v>
      </c>
      <c r="D125" s="22"/>
    </row>
    <row r="126" spans="1:7" x14ac:dyDescent="0.2">
      <c r="A126" s="4" t="s">
        <v>268</v>
      </c>
      <c r="D126" s="22"/>
    </row>
    <row r="127" spans="1:7" x14ac:dyDescent="0.2">
      <c r="A127" s="4" t="s">
        <v>269</v>
      </c>
      <c r="D127" s="22"/>
    </row>
    <row r="128" spans="1:7" x14ac:dyDescent="0.2">
      <c r="A128" s="4" t="s">
        <v>274</v>
      </c>
      <c r="D128" s="22"/>
    </row>
    <row r="129" spans="1:7" x14ac:dyDescent="0.2">
      <c r="A129" s="4" t="s">
        <v>272</v>
      </c>
      <c r="D129" s="22"/>
    </row>
    <row r="130" spans="1:7" x14ac:dyDescent="0.2">
      <c r="A130" s="4" t="s">
        <v>273</v>
      </c>
      <c r="D130" s="22"/>
    </row>
    <row r="132" spans="1:7" x14ac:dyDescent="0.2">
      <c r="A132" s="2" t="s">
        <v>282</v>
      </c>
      <c r="D132" s="2" t="str">
        <f ca="1">_xlfn.FORMULATEXT(D133)</f>
        <v>=relAssert(D26,"ALL","%code&lt;10")</v>
      </c>
      <c r="G132" s="2" t="str">
        <f ca="1">_xlfn.FORMULATEXT(G133)</f>
        <v>=relAssert(G26,"ALL","%code&lt;10")</v>
      </c>
    </row>
    <row r="133" spans="1:7" x14ac:dyDescent="0.2">
      <c r="D133" t="b">
        <f>[1]!relAssert(D26,"ALL","%code&lt;10")</f>
        <v>1</v>
      </c>
      <c r="G133" t="str">
        <f>[1]!relAssert(G26,"ALL","%code&lt;10")</f>
        <v>#ASSERTION ALL  11 : =(10&lt;10)</v>
      </c>
    </row>
    <row r="134" spans="1:7" x14ac:dyDescent="0.2">
      <c r="D134" s="2" t="str">
        <f ca="1">_xlfn.FORMULATEXT(D135)</f>
        <v>=relAssert(D26,"EXISTS","%code=10")</v>
      </c>
      <c r="G134" s="2" t="str">
        <f ca="1">_xlfn.FORMULATEXT(G135)</f>
        <v>=relAssert(G26,"EXISTS","%code=10")</v>
      </c>
    </row>
    <row r="135" spans="1:7" x14ac:dyDescent="0.2">
      <c r="D135" t="str">
        <f>[1]!relAssert(D26,"EXISTS","%code=10")</f>
        <v>#ASSERTION EXISTS %code=10</v>
      </c>
      <c r="G135" t="b">
        <f>[1]!relAssert(G26,"EXISTS","%code=10")</f>
        <v>1</v>
      </c>
    </row>
    <row r="136" spans="1:7" x14ac:dyDescent="0.2">
      <c r="D136" s="2" t="str">
        <f ca="1">_xlfn.FORMULATEXT(D137)</f>
        <v>=relAssert(D26,"UNIQUE","%code")</v>
      </c>
      <c r="G136" s="2" t="str">
        <f ca="1">_xlfn.FORMULATEXT(G137)</f>
        <v>=relAssert(D47,"UNIQUE","%code")</v>
      </c>
    </row>
    <row r="137" spans="1:7" x14ac:dyDescent="0.2">
      <c r="D137" t="b">
        <f>[1]!relAssert(D26,"UNIQUE","%code")</f>
        <v>1</v>
      </c>
      <c r="G137" t="str">
        <f>[1]!relAssert(D47,"UNIQUE","%code")</f>
        <v>#ASSERTION UNIQUE  8 : 1 =  2 : 1</v>
      </c>
    </row>
    <row r="138" spans="1:7" x14ac:dyDescent="0.2">
      <c r="D138" s="2" t="str">
        <f ca="1">_xlfn.FORMULATEXT(D139)</f>
        <v>=relAssert(D26,"COLUMNS","code::price")</v>
      </c>
      <c r="G138" s="2" t="str">
        <f ca="1">_xlfn.FORMULATEXT(G139)</f>
        <v>=relAssert(G26,"COLUMNS","code::price")</v>
      </c>
    </row>
    <row r="139" spans="1:7" x14ac:dyDescent="0.2">
      <c r="D139" t="str">
        <f>[1]!relAssert(D26,"COLUMNS","code::price")</f>
        <v>#ASSERTION COLUMNS price</v>
      </c>
      <c r="G139" t="b">
        <f>[1]!relAssert(G26,"COLUMNS","code::price")</f>
        <v>1</v>
      </c>
    </row>
    <row r="140" spans="1:7" x14ac:dyDescent="0.2">
      <c r="A140" t="s">
        <v>286</v>
      </c>
    </row>
    <row r="141" spans="1:7" x14ac:dyDescent="0.2">
      <c r="A141" t="s">
        <v>285</v>
      </c>
    </row>
    <row r="142" spans="1:7" x14ac:dyDescent="0.2">
      <c r="A142" t="s">
        <v>283</v>
      </c>
    </row>
    <row r="143" spans="1:7" x14ac:dyDescent="0.2">
      <c r="A143" t="s">
        <v>284</v>
      </c>
    </row>
    <row r="145" spans="1:1" x14ac:dyDescent="0.2">
      <c r="A145" s="2" t="s">
        <v>39</v>
      </c>
    </row>
    <row r="146" spans="1:1" x14ac:dyDescent="0.2">
      <c r="A146" s="11" t="s">
        <v>252</v>
      </c>
    </row>
    <row r="147" spans="1:1" x14ac:dyDescent="0.2">
      <c r="A147" s="11" t="s">
        <v>101</v>
      </c>
    </row>
    <row r="148" spans="1:1" x14ac:dyDescent="0.2">
      <c r="A148" s="11" t="s">
        <v>253</v>
      </c>
    </row>
    <row r="150" spans="1:1" x14ac:dyDescent="0.2">
      <c r="A150" s="5" t="s">
        <v>40</v>
      </c>
    </row>
    <row r="151" spans="1:1" x14ac:dyDescent="0.2">
      <c r="A151" s="19">
        <v>44063</v>
      </c>
    </row>
  </sheetData>
  <hyperlinks>
    <hyperlink ref="A150" r:id="rId1" xr:uid="{00000000-0004-0000-0000-000000000000}"/>
  </hyperlinks>
  <pageMargins left="0.75" right="0.75" top="1" bottom="1" header="0.5" footer="0.5"/>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61"/>
  <sheetViews>
    <sheetView showRuler="0" topLeftCell="A57" zoomScaleNormal="100" zoomScalePageLayoutView="76" workbookViewId="0">
      <selection activeCell="G60" sqref="G60"/>
    </sheetView>
  </sheetViews>
  <sheetFormatPr baseColWidth="10" defaultRowHeight="16" x14ac:dyDescent="0.2"/>
  <cols>
    <col min="4" max="4" width="30.5" customWidth="1"/>
    <col min="7" max="7" width="49.5" customWidth="1"/>
    <col min="8" max="8" width="30.1640625" customWidth="1"/>
    <col min="9" max="9" width="45.1640625" customWidth="1"/>
  </cols>
  <sheetData>
    <row r="1" spans="1:9" x14ac:dyDescent="0.2">
      <c r="A1" s="2" t="s">
        <v>41</v>
      </c>
    </row>
    <row r="3" spans="1:9" x14ac:dyDescent="0.2">
      <c r="A3" t="s">
        <v>42</v>
      </c>
    </row>
    <row r="6" spans="1:9" x14ac:dyDescent="0.2">
      <c r="A6" s="2" t="s">
        <v>22</v>
      </c>
      <c r="C6" s="2" t="s">
        <v>23</v>
      </c>
      <c r="D6" s="2"/>
      <c r="F6" s="2" t="s">
        <v>24</v>
      </c>
      <c r="G6" s="2"/>
    </row>
    <row r="7" spans="1:9" x14ac:dyDescent="0.2">
      <c r="C7" t="s">
        <v>271</v>
      </c>
      <c r="D7" t="s">
        <v>8</v>
      </c>
      <c r="F7" t="s">
        <v>270</v>
      </c>
      <c r="G7" t="s">
        <v>1</v>
      </c>
      <c r="H7" t="s">
        <v>7</v>
      </c>
      <c r="I7" t="s">
        <v>271</v>
      </c>
    </row>
    <row r="8" spans="1:9" x14ac:dyDescent="0.2">
      <c r="C8">
        <v>1</v>
      </c>
      <c r="D8" t="s">
        <v>2</v>
      </c>
      <c r="F8">
        <v>1</v>
      </c>
      <c r="G8" t="s">
        <v>9</v>
      </c>
      <c r="H8">
        <v>240</v>
      </c>
      <c r="I8">
        <v>5</v>
      </c>
    </row>
    <row r="9" spans="1:9" x14ac:dyDescent="0.2">
      <c r="C9">
        <v>2</v>
      </c>
      <c r="D9" t="s">
        <v>3</v>
      </c>
      <c r="F9">
        <v>2</v>
      </c>
      <c r="G9" t="s">
        <v>10</v>
      </c>
      <c r="H9">
        <v>120</v>
      </c>
      <c r="I9">
        <v>6</v>
      </c>
    </row>
    <row r="10" spans="1:9" x14ac:dyDescent="0.2">
      <c r="C10">
        <v>3</v>
      </c>
      <c r="D10" t="s">
        <v>4</v>
      </c>
      <c r="F10">
        <v>3</v>
      </c>
      <c r="G10" t="s">
        <v>11</v>
      </c>
      <c r="H10">
        <v>150</v>
      </c>
      <c r="I10">
        <v>4</v>
      </c>
    </row>
    <row r="11" spans="1:9" x14ac:dyDescent="0.2">
      <c r="C11">
        <v>4</v>
      </c>
      <c r="D11" t="s">
        <v>21</v>
      </c>
      <c r="F11">
        <v>4</v>
      </c>
      <c r="G11" t="s">
        <v>12</v>
      </c>
      <c r="H11">
        <v>5</v>
      </c>
      <c r="I11">
        <v>6</v>
      </c>
    </row>
    <row r="12" spans="1:9" x14ac:dyDescent="0.2">
      <c r="C12">
        <v>5</v>
      </c>
      <c r="D12" t="s">
        <v>5</v>
      </c>
      <c r="F12">
        <v>5</v>
      </c>
      <c r="G12" t="s">
        <v>13</v>
      </c>
      <c r="H12">
        <v>240</v>
      </c>
      <c r="I12">
        <v>1</v>
      </c>
    </row>
    <row r="13" spans="1:9" x14ac:dyDescent="0.2">
      <c r="C13">
        <v>6</v>
      </c>
      <c r="D13" t="s">
        <v>6</v>
      </c>
      <c r="F13">
        <v>6</v>
      </c>
      <c r="G13" t="s">
        <v>14</v>
      </c>
      <c r="H13">
        <v>180</v>
      </c>
      <c r="I13">
        <v>2</v>
      </c>
    </row>
    <row r="14" spans="1:9" x14ac:dyDescent="0.2">
      <c r="F14">
        <v>7</v>
      </c>
      <c r="G14" t="s">
        <v>15</v>
      </c>
      <c r="H14">
        <v>90</v>
      </c>
      <c r="I14">
        <v>2</v>
      </c>
    </row>
    <row r="15" spans="1:9" x14ac:dyDescent="0.2">
      <c r="F15">
        <v>8</v>
      </c>
      <c r="G15" t="s">
        <v>16</v>
      </c>
      <c r="H15">
        <v>270</v>
      </c>
      <c r="I15">
        <v>3</v>
      </c>
    </row>
    <row r="16" spans="1:9" x14ac:dyDescent="0.2">
      <c r="F16">
        <v>9</v>
      </c>
      <c r="G16" t="s">
        <v>17</v>
      </c>
      <c r="H16">
        <v>66</v>
      </c>
      <c r="I16">
        <v>3</v>
      </c>
    </row>
    <row r="17" spans="1:10" x14ac:dyDescent="0.2">
      <c r="F17">
        <v>10</v>
      </c>
      <c r="G17" t="s">
        <v>18</v>
      </c>
      <c r="H17">
        <v>180</v>
      </c>
      <c r="I17">
        <v>2</v>
      </c>
    </row>
    <row r="19" spans="1:10" x14ac:dyDescent="0.2">
      <c r="D19" s="23" t="s">
        <v>277</v>
      </c>
      <c r="E19" s="23"/>
      <c r="F19" s="23"/>
      <c r="G19" s="23" t="s">
        <v>276</v>
      </c>
    </row>
    <row r="20" spans="1:10" x14ac:dyDescent="0.2">
      <c r="A20" s="2" t="s">
        <v>27</v>
      </c>
      <c r="D20" s="2" t="str">
        <f ca="1">_xlfn.FORMULATEXT(D21)</f>
        <v>=relRange(C7:D13)</v>
      </c>
      <c r="G20" s="2" t="str">
        <f ca="1">_xlfn.FORMULATEXT(G21)</f>
        <v>=relRange(F7:I17)</v>
      </c>
      <c r="J20" s="2"/>
    </row>
    <row r="21" spans="1:10" ht="156" customHeight="1" x14ac:dyDescent="0.2">
      <c r="D21" s="1" t="str">
        <f>[1]!relRange(C7:D13)</f>
        <v>manid::manufacturer _x000D_1::Sony _x000D_2::Creative Labs _x000D_3::Hewlett Packard _x000D_4::Iomega _x000D_5::Fujitsu _x000D_6::Winchester</v>
      </c>
      <c r="G21" s="1" t="str">
        <f>[1]!relRange(F7:I17)</f>
        <v>itemid::name::price::manid _x000D_1::Hard drive::240::5 _x000D_2::Memory::120::6 _x000D_3::ZIP drive::150::4 _x000D_4::Floppy disk::5::6 _x000D_5::Monitor::240::1 _x000D_6::DVD drive::180::2 _x000D_7::CD drive::90::2 _x000D_8::Printer::270::3 _x000D_9::Toner cartridge::66::3 _x000D_10::DVD burner::180::2</v>
      </c>
    </row>
    <row r="23" spans="1:10" x14ac:dyDescent="0.2">
      <c r="A23" s="2" t="s">
        <v>43</v>
      </c>
      <c r="G23" s="2" t="str">
        <f ca="1">_xlfn.FORMULATEXT(G24)</f>
        <v>=relProject(products,"name::price")</v>
      </c>
    </row>
    <row r="24" spans="1:10" ht="171" customHeight="1" x14ac:dyDescent="0.2">
      <c r="G24" s="1" t="str">
        <f>[1]!relProject(products,"name::price")</f>
        <v>name::price _x000D_Hard drive::240 _x000D_Memory::120 _x000D_ZIP drive::150 _x000D_Floppy disk::5 _x000D_Monitor::240 _x000D_DVD drive::180 _x000D_CD drive::90 _x000D_Printer::270 _x000D_Toner cartridge::66 _x000D_DVD burner::180</v>
      </c>
    </row>
    <row r="26" spans="1:10" x14ac:dyDescent="0.2">
      <c r="A26" s="2" t="s">
        <v>44</v>
      </c>
      <c r="G26" s="2" t="str">
        <f ca="1">_xlfn.FORMULATEXT(G27)</f>
        <v>=relFilter(products,"S %price&lt;=200","P name")</v>
      </c>
    </row>
    <row r="27" spans="1:10" ht="111" customHeight="1" x14ac:dyDescent="0.2">
      <c r="G27" s="1" t="str">
        <f>[1]!relFilter(products,"S %price&lt;=200","P name")</f>
        <v>name _x000D_Memory _x000D_ZIP drive _x000D_Floppy disk _x000D_DVD drive _x000D_CD drive _x000D_Toner cartridge _x000D_DVD burner</v>
      </c>
    </row>
    <row r="29" spans="1:10" x14ac:dyDescent="0.2">
      <c r="A29" s="2" t="s">
        <v>45</v>
      </c>
      <c r="G29" s="2" t="str">
        <f ca="1">_xlfn.FORMULATEXT(G30)</f>
        <v>=relFilter(products,"S AND(%price&gt;=60,%price&lt;=120)","P 2")</v>
      </c>
    </row>
    <row r="30" spans="1:10" ht="152" customHeight="1" x14ac:dyDescent="0.2">
      <c r="G30" s="1" t="str">
        <f>[1]!relFilter(products,"S AND(%price&gt;=60,%price&lt;=120)","P 2")</f>
        <v>name _x000D_Memory _x000D_CD drive _x000D_Toner cartridge</v>
      </c>
    </row>
    <row r="31" spans="1:10" x14ac:dyDescent="0.2">
      <c r="A31" t="s">
        <v>46</v>
      </c>
    </row>
    <row r="33" spans="1:8" x14ac:dyDescent="0.2">
      <c r="A33" s="2" t="s">
        <v>47</v>
      </c>
      <c r="G33" s="2" t="str">
        <f ca="1">_xlfn.FORMULATEXT(G34)</f>
        <v>=relFilter(products,"E cents %3*100","P name::cents")</v>
      </c>
    </row>
    <row r="34" spans="1:8" ht="175" customHeight="1" x14ac:dyDescent="0.2">
      <c r="G34" s="1" t="str">
        <f>[1]!relFilter(products,"E cents %3*100","P name::cents")</f>
        <v>name::cents _x000D_Hard drive::24000 _x000D_Memory::12000 _x000D_ZIP drive::15000 _x000D_Floppy disk::500 _x000D_Monitor::24000 _x000D_DVD drive::18000 _x000D_CD drive::9000 _x000D_Printer::27000 _x000D_Toner cartridge::6600 _x000D_DVD burner::18000</v>
      </c>
    </row>
    <row r="35" spans="1:8" x14ac:dyDescent="0.2">
      <c r="H35" s="21"/>
    </row>
    <row r="36" spans="1:8" x14ac:dyDescent="0.2">
      <c r="A36" s="2" t="s">
        <v>48</v>
      </c>
      <c r="G36" s="2" t="str">
        <f ca="1">_xlfn.FORMULATEXT(G37)</f>
        <v>=relFilter(products, "P price AVG", "C")</v>
      </c>
    </row>
    <row r="37" spans="1:8" x14ac:dyDescent="0.2">
      <c r="G37">
        <f>[1]!relFilter(products, "P price AVG", "C")</f>
        <v>154.1</v>
      </c>
    </row>
    <row r="39" spans="1:8" x14ac:dyDescent="0.2">
      <c r="A39" s="2" t="s">
        <v>49</v>
      </c>
      <c r="G39" s="2" t="str">
        <f ca="1">_xlfn.FORMULATEXT(G40)</f>
        <v>=relFilter(products,"S %manid=2","P price AVG","C")</v>
      </c>
    </row>
    <row r="40" spans="1:8" x14ac:dyDescent="0.2">
      <c r="G40">
        <f>[1]!relFilter(products,"S %manid=2","P price AVG","C")</f>
        <v>150</v>
      </c>
    </row>
    <row r="42" spans="1:8" x14ac:dyDescent="0.2">
      <c r="A42" s="2" t="s">
        <v>50</v>
      </c>
      <c r="G42" s="2" t="str">
        <f ca="1">_xlfn.FORMULATEXT(G43)</f>
        <v>=relFilter(products,"S %price&gt;=180","P itemid COUNT","C")</v>
      </c>
    </row>
    <row r="43" spans="1:8" x14ac:dyDescent="0.2">
      <c r="G43" s="4">
        <f>[1]!relFilter(products,"S %price&gt;=180","P itemid COUNT","C")</f>
        <v>5</v>
      </c>
    </row>
    <row r="45" spans="1:8" x14ac:dyDescent="0.2">
      <c r="A45" s="2" t="s">
        <v>51</v>
      </c>
    </row>
    <row r="46" spans="1:8" x14ac:dyDescent="0.2">
      <c r="A46" s="2"/>
      <c r="G46" s="2" t="str">
        <f ca="1">_xlfn.FORMULATEXT(G47)</f>
        <v>=relFilter(products,"S %price&gt;180","P name::price","O price 9::name A")</v>
      </c>
    </row>
    <row r="47" spans="1:8" ht="86" customHeight="1" x14ac:dyDescent="0.2">
      <c r="G47" s="7" t="str">
        <f>[1]!relFilter(products,"S %price&gt;180","P name::price","O price 9::name A")</f>
        <v>name::price _x000D_Printer::270 _x000D_Hard drive::240 _x000D_Monitor::240</v>
      </c>
    </row>
    <row r="49" spans="1:9" x14ac:dyDescent="0.2">
      <c r="A49" s="2" t="s">
        <v>52</v>
      </c>
      <c r="G49" s="2" t="str">
        <f ca="1">_xlfn.FORMULATEXT(G50)</f>
        <v>=relFilter(manufacturers,products,"J NATURAL","P itemid::name::price::manid::manufacturer")</v>
      </c>
    </row>
    <row r="50" spans="1:9" ht="136" x14ac:dyDescent="0.2">
      <c r="G50" s="1" t="str">
        <f>[1]!relFilter(manufacturers,products,"J NATURAL","P itemid::name::price::manid::manufacturer")</f>
        <v>itemid::name::price::manid::manufacturer _x000D_5::Monitor::240::1::Sony _x000D_6::DVD drive::180::2::Creative Labs _x000D_7::CD drive::90::2::Creative Labs _x000D_10::DVD burner::180::2::Creative Labs _x000D_8::Printer::270::3::Hewlett Packard _x000D_9::Toner cartridge::66::3::Hewlett Packard _x000D_3::ZIP drive::150::4::Iomega _x000D_1::Hard drive::240::5::Fujitsu _x000D_2::Memory::120::6::Winchester _x000D_4::Floppy disk::5::6::Winchester</v>
      </c>
    </row>
    <row r="52" spans="1:9" x14ac:dyDescent="0.2">
      <c r="A52" s="2" t="s">
        <v>53</v>
      </c>
      <c r="G52" s="2" t="str">
        <f ca="1">_xlfn.FORMULATEXT(G53)</f>
        <v>=relProject(products,"manid::price AVG")</v>
      </c>
    </row>
    <row r="53" spans="1:9" ht="98" customHeight="1" x14ac:dyDescent="0.2">
      <c r="G53" s="1" t="str">
        <f>[1]!relProject(products,"manid::price AVG")</f>
        <v>manid::price_avg _x000D_5::240 _x000D_4::150 _x000D_6::62.5 _x000D_1::240 _x000D_3::168 _x000D_2::150</v>
      </c>
    </row>
    <row r="54" spans="1:9" x14ac:dyDescent="0.2">
      <c r="A54" s="2" t="s">
        <v>54</v>
      </c>
      <c r="G54" s="2" t="str">
        <f ca="1">_xlfn.FORMULATEXT(G55)</f>
        <v>=relFilter(manufacturers, products, "J NATURAL", "P manufacturer::price AVG")</v>
      </c>
    </row>
    <row r="55" spans="1:9" ht="94" customHeight="1" x14ac:dyDescent="0.2">
      <c r="G55" s="1" t="str">
        <f>[1]!relFilter(manufacturers, products, "J NATURAL", "P manufacturer::price AVG")</f>
        <v>manufacturer::price_avg _x000D_Sony::240 _x000D_Creative Labs::150 _x000D_Hewlett Packard::168 _x000D_Iomega::150 _x000D_Fujitsu::240 _x000D_Winchester::62.5</v>
      </c>
    </row>
    <row r="56" spans="1:9" x14ac:dyDescent="0.2">
      <c r="A56" s="2" t="s">
        <v>55</v>
      </c>
      <c r="G56" s="2" t="str">
        <f ca="1">_xlfn.FORMULATEXT(G57)</f>
        <v>=relFilter(products,"P manid::price AVG","S %price_avg&gt;=150","P manid",manufacturers,"J NATURAL","P manufacturer")</v>
      </c>
    </row>
    <row r="57" spans="1:9" ht="99" customHeight="1" x14ac:dyDescent="0.2">
      <c r="G57" s="1" t="str">
        <f>[1]!relFilter(products,"P manid::price AVG","S %price_avg&gt;=150","P manid",manufacturers,"J NATURAL","P manufacturer")</f>
        <v>manufacturer _x000D_Fujitsu _x000D_Iomega _x000D_Sony _x000D_Hewlett Packard _x000D_Creative Labs</v>
      </c>
    </row>
    <row r="58" spans="1:9" x14ac:dyDescent="0.2">
      <c r="A58" s="2" t="s">
        <v>56</v>
      </c>
      <c r="G58" s="2" t="str">
        <f ca="1">_xlfn.FORMULATEXT(G59)</f>
        <v>=relFilter(products,"P price MIN","R price_min price",products,"J NATURAL","P name::price")</v>
      </c>
    </row>
    <row r="59" spans="1:9" ht="66" customHeight="1" x14ac:dyDescent="0.2">
      <c r="G59" s="1" t="str">
        <f>[1]!relFilter(products,"P price MIN","R price_min price",products,"J NATURAL","P name::price")</f>
        <v>name::price _x000D_Floppy disk::5</v>
      </c>
      <c r="H59" s="3">
        <v>5</v>
      </c>
    </row>
    <row r="60" spans="1:9" x14ac:dyDescent="0.2">
      <c r="A60" s="2" t="s">
        <v>57</v>
      </c>
      <c r="G60" s="2" t="str">
        <f ca="1">_xlfn.FORMULATEXT(G61)</f>
        <v>=relFilter(products,"P manid::price MAX",products,"J NATURAL","S %price=%price_max",manufacturers,"J NATURAL","P manufacturer::name::price","O manufacturer")</v>
      </c>
      <c r="H60" s="2"/>
      <c r="I60" s="2"/>
    </row>
    <row r="61" spans="1:9" ht="155" customHeight="1" x14ac:dyDescent="0.2">
      <c r="G61" s="1" t="str">
        <f>[1]!relFilter(products,"P manid::price MAX",products,"J NATURAL","S %price=%price_max",manufacturers,"J NATURAL","P manufacturer::name::price","O manufacturer")</f>
        <v>manufacturer::name::price _x000D_Creative Labs::DVD drive::180 _x000D_Creative Labs::DVD burner::180 _x000D_Fujitsu::Hard drive::240 _x000D_Hewlett Packard::Printer::270 _x000D_Iomega::ZIP drive::150 _x000D_Sony::Monitor::240 _x000D_Winchester::Memory::120</v>
      </c>
      <c r="H61" s="1"/>
      <c r="I61" s="1"/>
    </row>
  </sheetData>
  <pageMargins left="0.75" right="0.75" top="1" bottom="1" header="0.5" footer="0.5"/>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50"/>
  <sheetViews>
    <sheetView showRuler="0" topLeftCell="A43" zoomScaleNormal="100" zoomScalePageLayoutView="76" workbookViewId="0">
      <selection activeCell="H47" sqref="H47"/>
    </sheetView>
  </sheetViews>
  <sheetFormatPr baseColWidth="10" defaultRowHeight="16" x14ac:dyDescent="0.2"/>
  <cols>
    <col min="4" max="4" width="33.5" customWidth="1"/>
    <col min="5" max="5" width="11.1640625" customWidth="1"/>
    <col min="8" max="8" width="54.6640625" customWidth="1"/>
  </cols>
  <sheetData>
    <row r="1" spans="1:10" x14ac:dyDescent="0.2">
      <c r="A1" s="12" t="s">
        <v>41</v>
      </c>
      <c r="B1" s="12"/>
      <c r="C1" s="10"/>
      <c r="D1" s="10"/>
      <c r="E1" s="10"/>
      <c r="F1" s="10"/>
      <c r="G1" s="10"/>
      <c r="H1" s="10"/>
      <c r="I1" s="10"/>
      <c r="J1" s="10"/>
    </row>
    <row r="2" spans="1:10" x14ac:dyDescent="0.2">
      <c r="A2" s="10"/>
      <c r="B2" s="10"/>
      <c r="C2" s="10"/>
      <c r="D2" s="10"/>
      <c r="E2" s="10"/>
      <c r="F2" s="10"/>
      <c r="G2" s="10"/>
      <c r="H2" s="10"/>
      <c r="I2" s="10"/>
      <c r="J2" s="10"/>
    </row>
    <row r="3" spans="1:10" x14ac:dyDescent="0.2">
      <c r="A3" s="10" t="s">
        <v>104</v>
      </c>
      <c r="B3" s="10"/>
      <c r="C3" s="10"/>
      <c r="D3" s="10"/>
      <c r="E3" s="10"/>
      <c r="F3" s="10"/>
      <c r="G3" s="10"/>
      <c r="H3" s="10"/>
      <c r="I3" s="10"/>
      <c r="J3" s="10"/>
    </row>
    <row r="4" spans="1:10" x14ac:dyDescent="0.2">
      <c r="A4" s="10"/>
      <c r="B4" s="10"/>
      <c r="C4" s="10"/>
      <c r="D4" s="10"/>
      <c r="E4" s="10"/>
      <c r="F4" s="10"/>
      <c r="G4" s="10"/>
      <c r="H4" s="10"/>
      <c r="I4" s="10"/>
      <c r="J4" s="10"/>
    </row>
    <row r="5" spans="1:10" x14ac:dyDescent="0.2">
      <c r="A5" s="10"/>
      <c r="B5" s="10"/>
      <c r="C5" s="10"/>
      <c r="D5" s="10"/>
      <c r="E5" s="10"/>
      <c r="F5" s="10"/>
      <c r="G5" s="10"/>
      <c r="H5" s="10"/>
      <c r="I5" s="10"/>
      <c r="J5" s="10"/>
    </row>
    <row r="6" spans="1:10" x14ac:dyDescent="0.2">
      <c r="A6" s="12" t="s">
        <v>22</v>
      </c>
      <c r="B6" s="10"/>
      <c r="C6" s="12" t="s">
        <v>105</v>
      </c>
      <c r="D6" s="12"/>
      <c r="F6" s="10"/>
      <c r="G6" s="12" t="s">
        <v>106</v>
      </c>
      <c r="H6" s="12"/>
      <c r="I6" s="10"/>
      <c r="J6" s="10"/>
    </row>
    <row r="7" spans="1:10" x14ac:dyDescent="0.2">
      <c r="C7" t="s">
        <v>278</v>
      </c>
      <c r="D7" t="s">
        <v>109</v>
      </c>
      <c r="E7" t="s">
        <v>132</v>
      </c>
      <c r="G7" t="s">
        <v>107</v>
      </c>
      <c r="H7" t="s">
        <v>1</v>
      </c>
      <c r="I7" t="s">
        <v>108</v>
      </c>
      <c r="J7" t="s">
        <v>278</v>
      </c>
    </row>
    <row r="8" spans="1:10" x14ac:dyDescent="0.2">
      <c r="C8">
        <v>14</v>
      </c>
      <c r="D8" t="s">
        <v>133</v>
      </c>
      <c r="E8">
        <v>65000</v>
      </c>
      <c r="G8">
        <v>123234877</v>
      </c>
      <c r="H8" t="s">
        <v>110</v>
      </c>
      <c r="I8" t="s">
        <v>111</v>
      </c>
      <c r="J8">
        <v>14</v>
      </c>
    </row>
    <row r="9" spans="1:10" x14ac:dyDescent="0.2">
      <c r="C9">
        <v>37</v>
      </c>
      <c r="D9" t="s">
        <v>134</v>
      </c>
      <c r="E9">
        <v>15000</v>
      </c>
      <c r="G9">
        <v>152934485</v>
      </c>
      <c r="H9" t="s">
        <v>112</v>
      </c>
      <c r="I9" t="s">
        <v>113</v>
      </c>
      <c r="J9">
        <v>14</v>
      </c>
    </row>
    <row r="10" spans="1:10" x14ac:dyDescent="0.2">
      <c r="C10">
        <v>59</v>
      </c>
      <c r="D10" t="s">
        <v>135</v>
      </c>
      <c r="E10">
        <v>240000</v>
      </c>
      <c r="G10">
        <v>222364883</v>
      </c>
      <c r="H10" t="s">
        <v>114</v>
      </c>
      <c r="I10" t="s">
        <v>115</v>
      </c>
      <c r="J10">
        <v>37</v>
      </c>
    </row>
    <row r="11" spans="1:10" x14ac:dyDescent="0.2">
      <c r="C11">
        <v>77</v>
      </c>
      <c r="D11" t="s">
        <v>136</v>
      </c>
      <c r="E11">
        <v>55000</v>
      </c>
      <c r="G11">
        <v>326587417</v>
      </c>
      <c r="H11" t="s">
        <v>116</v>
      </c>
      <c r="I11" t="s">
        <v>117</v>
      </c>
      <c r="J11">
        <v>37</v>
      </c>
    </row>
    <row r="12" spans="1:10" x14ac:dyDescent="0.2">
      <c r="G12">
        <v>332154719</v>
      </c>
      <c r="H12" t="s">
        <v>118</v>
      </c>
      <c r="I12" t="s">
        <v>119</v>
      </c>
      <c r="J12">
        <v>14</v>
      </c>
    </row>
    <row r="13" spans="1:10" x14ac:dyDescent="0.2">
      <c r="G13">
        <v>332569843</v>
      </c>
      <c r="H13" t="s">
        <v>120</v>
      </c>
      <c r="I13" t="s">
        <v>121</v>
      </c>
      <c r="J13">
        <v>77</v>
      </c>
    </row>
    <row r="14" spans="1:10" x14ac:dyDescent="0.2">
      <c r="G14">
        <v>546523478</v>
      </c>
      <c r="H14" t="s">
        <v>122</v>
      </c>
      <c r="I14" t="s">
        <v>123</v>
      </c>
      <c r="J14">
        <v>59</v>
      </c>
    </row>
    <row r="15" spans="1:10" x14ac:dyDescent="0.2">
      <c r="G15">
        <v>631231482</v>
      </c>
      <c r="H15" t="s">
        <v>124</v>
      </c>
      <c r="I15" t="s">
        <v>115</v>
      </c>
      <c r="J15">
        <v>77</v>
      </c>
    </row>
    <row r="16" spans="1:10" x14ac:dyDescent="0.2">
      <c r="G16">
        <v>654873219</v>
      </c>
      <c r="H16" t="s">
        <v>125</v>
      </c>
      <c r="I16" t="s">
        <v>126</v>
      </c>
      <c r="J16">
        <v>59</v>
      </c>
    </row>
    <row r="17" spans="1:10" x14ac:dyDescent="0.2">
      <c r="G17">
        <v>745685214</v>
      </c>
      <c r="H17" t="s">
        <v>127</v>
      </c>
      <c r="I17" t="s">
        <v>128</v>
      </c>
      <c r="J17">
        <v>59</v>
      </c>
    </row>
    <row r="18" spans="1:10" x14ac:dyDescent="0.2">
      <c r="G18">
        <v>845657245</v>
      </c>
      <c r="H18" t="s">
        <v>129</v>
      </c>
      <c r="I18" t="s">
        <v>123</v>
      </c>
      <c r="J18">
        <v>14</v>
      </c>
    </row>
    <row r="19" spans="1:10" x14ac:dyDescent="0.2">
      <c r="G19">
        <v>845657246</v>
      </c>
      <c r="H19" t="s">
        <v>130</v>
      </c>
      <c r="I19" t="s">
        <v>131</v>
      </c>
      <c r="J19">
        <v>14</v>
      </c>
    </row>
    <row r="21" spans="1:10" x14ac:dyDescent="0.2">
      <c r="A21" s="2" t="s">
        <v>27</v>
      </c>
      <c r="D21" s="2" t="str">
        <f ca="1">_xlfn.FORMULATEXT(D22)</f>
        <v>=relRange(C7:E11)</v>
      </c>
      <c r="H21" s="2" t="str">
        <f ca="1">_xlfn.FORMULATEXT(H22)</f>
        <v>=relRange(G7:J19)</v>
      </c>
      <c r="J21" s="2"/>
    </row>
    <row r="22" spans="1:10" ht="189" customHeight="1" x14ac:dyDescent="0.2">
      <c r="D22" s="1" t="str">
        <f>[1]!relRange(C7:E11)</f>
        <v>depid::department::budget _x000D_14::IT::65000 _x000D_37::Accounting::15000 _x000D_59::Human Resources::240000 _x000D_77::Research::55000</v>
      </c>
      <c r="H22" s="1" t="str">
        <f>[1]!relRange(G7:J19)</f>
        <v>ssn::name::lastname::depid _x000D_123234877::Michael::Rogers::14 _x000D_152934485::Anand::Manikutty::14 _x000D_222364883::Carol::Smith::37 _x000D_326587417::Joe::Stevens::37 _x000D_332154719::Mary-Anne::Foster::14 _x000D_332569843::George::ODonnell::77 _x000D_546523478::John::Doe::59 _x000D_631231482::David::Smith::77 _x000D_654873219::Zacary::Efron::59 _x000D_745685214::Eric::Goldsmith::59 _x000D_845657245::Elizabeth::Doe::14 _x000D_845657246::Kumar::Swamy::14</v>
      </c>
    </row>
    <row r="23" spans="1:10" x14ac:dyDescent="0.2">
      <c r="A23" s="2" t="s">
        <v>137</v>
      </c>
      <c r="H23" s="2" t="str">
        <f ca="1">_xlfn.FORMULATEXT(H24)</f>
        <v>=relProject(employees,"lastname")</v>
      </c>
    </row>
    <row r="24" spans="1:10" ht="184" customHeight="1" x14ac:dyDescent="0.2">
      <c r="H24" s="14" t="str">
        <f>[1]!relProject(employees,"lastname")</f>
        <v>lastname _x000D_Rogers _x000D_Manikutty _x000D_Stevens _x000D_Foster _x000D_ODonnell _x000D_Smith _x000D_Efron _x000D_Goldsmith _x000D_Doe _x000D_Swamy</v>
      </c>
    </row>
    <row r="25" spans="1:10" x14ac:dyDescent="0.2">
      <c r="A25" s="2" t="s">
        <v>138</v>
      </c>
      <c r="H25" s="2" t="str">
        <f ca="1">_xlfn.FORMULATEXT(H26)</f>
        <v>=relSelect(employees,"OR($lastname=""Smith"", $lastname=""Doe"")")</v>
      </c>
    </row>
    <row r="26" spans="1:10" ht="67" customHeight="1" x14ac:dyDescent="0.2">
      <c r="H26" s="1" t="str">
        <f>[1]!relSelect(employees,"OR($lastname=""Smith"", $lastname=""Doe"")")</f>
        <v>ssn::name::lastname::depid _x000D_222364883::Carol::Smith::37 _x000D_546523478::John::Doe::59 _x000D_631231482::David::Smith::77 _x000D_845657245::Elizabeth::Doe::14</v>
      </c>
    </row>
    <row r="28" spans="1:10" x14ac:dyDescent="0.2">
      <c r="A28" s="2" t="s">
        <v>139</v>
      </c>
      <c r="H28" s="2" t="str">
        <f ca="1">_xlfn.FORMULATEXT(H29)</f>
        <v>=relSelect(employees,"%depid=14")</v>
      </c>
    </row>
    <row r="29" spans="1:10" ht="78" customHeight="1" x14ac:dyDescent="0.2">
      <c r="H29" s="1" t="str">
        <f>[1]!relSelect(employees,"%depid=14")</f>
        <v>ssn::name::lastname::depid _x000D_123234877::Michael::Rogers::14 _x000D_152934485::Anand::Manikutty::14 _x000D_332154719::Mary-Anne::Foster::14 _x000D_845657245::Elizabeth::Doe::14 _x000D_845657246::Kumar::Swamy::14</v>
      </c>
    </row>
    <row r="30" spans="1:10" x14ac:dyDescent="0.2">
      <c r="A30" s="2" t="s">
        <v>140</v>
      </c>
      <c r="H30" s="2" t="str">
        <f ca="1">_xlfn.FORMULATEXT(H31)</f>
        <v>=relSelect(employees,"OR(%depid=37,%depid=77)")</v>
      </c>
    </row>
    <row r="31" spans="1:10" ht="84" customHeight="1" x14ac:dyDescent="0.2">
      <c r="H31" s="1" t="str">
        <f>[1]!relSelect(employees,"OR(%depid=37,%depid=77)")</f>
        <v>ssn::name::lastname::depid _x000D_222364883::Carol::Smith::37 _x000D_326587417::Joe::Stevens::37 _x000D_332569843::George::ODonnell::77 _x000D_631231482::David::Smith::77</v>
      </c>
    </row>
    <row r="32" spans="1:10" x14ac:dyDescent="0.2">
      <c r="A32" s="2" t="s">
        <v>141</v>
      </c>
      <c r="H32" s="2" t="str">
        <f ca="1">_xlfn.FORMULATEXT(H33)</f>
        <v>=relSelect(employees,"LEFT($lastname,1)=""S""")</v>
      </c>
    </row>
    <row r="33" spans="1:8" ht="85.25" customHeight="1" x14ac:dyDescent="0.2">
      <c r="H33" s="1" t="str">
        <f>[1]!relSelect(employees,"LEFT($lastname,1)=""S""")</f>
        <v>ssn::name::lastname::depid _x000D_222364883::Carol::Smith::37 _x000D_326587417::Joe::Stevens::37 _x000D_631231482::David::Smith::77 _x000D_845657246::Kumar::Swamy::14</v>
      </c>
    </row>
    <row r="34" spans="1:8" x14ac:dyDescent="0.2">
      <c r="A34" s="2" t="s">
        <v>142</v>
      </c>
      <c r="H34" s="2" t="str">
        <f ca="1">_xlfn.FORMULATEXT(H35)</f>
        <v>=relFilter(departments,"P budget SUM","C")</v>
      </c>
    </row>
    <row r="35" spans="1:8" x14ac:dyDescent="0.2">
      <c r="H35">
        <f>[1]!relFilter(departments,"P budget SUM","C")</f>
        <v>375000</v>
      </c>
    </row>
    <row r="36" spans="1:8" x14ac:dyDescent="0.2">
      <c r="A36" s="2" t="s">
        <v>143</v>
      </c>
    </row>
    <row r="37" spans="1:8" x14ac:dyDescent="0.2">
      <c r="H37" s="2" t="str">
        <f ca="1">_xlfn.FORMULATEXT(H38)</f>
        <v>=relProject(employees,"depid::ssn COUNT")</v>
      </c>
    </row>
    <row r="38" spans="1:8" ht="78.5" customHeight="1" x14ac:dyDescent="0.2">
      <c r="H38" s="1" t="str">
        <f>[1]!relProject(employees,"depid::ssn COUNT")</f>
        <v>depid::ssn_count _x000D_37::2 _x000D_77::2 _x000D_59::3 _x000D_14::5</v>
      </c>
    </row>
    <row r="39" spans="1:8" x14ac:dyDescent="0.2">
      <c r="A39" s="2" t="s">
        <v>144</v>
      </c>
      <c r="H39" s="2" t="str">
        <f ca="1">_xlfn.FORMULATEXT(H40)</f>
        <v>=relFilter(employees,departments,"J NATURAL")</v>
      </c>
    </row>
    <row r="40" spans="1:8" ht="208.25" customHeight="1" x14ac:dyDescent="0.2">
      <c r="H40" s="1" t="str">
        <f>[1]!relFilter(employees,departments,"J NATURAL")</f>
        <v>depid::ssn::name::lastname::department::budget _x000D_14::123234877::Michael::Rogers::IT::65000 _x000D_14::152934485::Anand::Manikutty::IT::65000 _x000D_37::222364883::Carol::Smith::Accounting::15000 _x000D_37::326587417::Joe::Stevens::Accounting::15000 _x000D_14::332154719::Mary-Anne::Foster::IT::65000 _x000D_77::332569843::George::ODonnell::Research::55000 _x000D_59::546523478::John::Doe::Human Resources::240000 _x000D_77::631231482::David::Smith::Research::55000 _x000D_59::654873219::Zacary::Efron::Human Resources::240000 _x000D_59::745685214::Eric::Goldsmith::Human Resources::240000 _x000D_14::845657245::Elizabeth::Doe::IT::65000 _x000D_14::845657246::Kumar::Swamy::IT::65000</v>
      </c>
    </row>
    <row r="41" spans="1:8" x14ac:dyDescent="0.2">
      <c r="A41" s="2" t="s">
        <v>145</v>
      </c>
      <c r="H41" s="2" t="str">
        <f ca="1">_xlfn.FORMULATEXT(H42)</f>
        <v>=relProject(H40,"name::lastname::department::budget")</v>
      </c>
    </row>
    <row r="42" spans="1:8" ht="208.25" customHeight="1" x14ac:dyDescent="0.2">
      <c r="H42" s="1" t="str">
        <f>[1]!relProject(H40,"name::lastname::department::budget")</f>
        <v>name::lastname::department::budget _x000D_Michael::Rogers::IT::65000 _x000D_Anand::Manikutty::IT::65000 _x000D_Carol::Smith::Accounting::15000 _x000D_Joe::Stevens::Accounting::15000 _x000D_Mary-Anne::Foster::IT::65000 _x000D_George::ODonnell::Research::55000 _x000D_John::Doe::Human Resources::240000 _x000D_David::Smith::Research::55000 _x000D_Zacary::Efron::Human Resources::240000 _x000D_Eric::Goldsmith::Human Resources::240000 _x000D_Elizabeth::Doe::IT::65000 _x000D_Kumar::Swamy::IT::65000</v>
      </c>
    </row>
    <row r="43" spans="1:8" x14ac:dyDescent="0.2">
      <c r="A43" s="2" t="s">
        <v>146</v>
      </c>
      <c r="H43" s="2" t="str">
        <f ca="1">_xlfn.FORMULATEXT(H44)</f>
        <v>=relFilter(H40,"S %budget&gt;60000","P name::lastname")</v>
      </c>
    </row>
    <row r="44" spans="1:8" ht="150" customHeight="1" x14ac:dyDescent="0.2">
      <c r="H44" s="1" t="str">
        <f>[1]!relFilter(H40,"S %budget&gt;60000","P name::lastname")</f>
        <v>name::lastname _x000D_Michael::Rogers _x000D_Anand::Manikutty _x000D_Mary-Anne::Foster _x000D_John::Doe _x000D_Zacary::Efron _x000D_Eric::Goldsmith _x000D_Elizabeth::Doe _x000D_Kumar::Swamy</v>
      </c>
    </row>
    <row r="45" spans="1:8" x14ac:dyDescent="0.2">
      <c r="A45" s="2" t="s">
        <v>147</v>
      </c>
      <c r="H45" s="2" t="str">
        <f ca="1">_xlfn.FORMULATEXT(H46)</f>
        <v>=relFilter(departments,"P budget AVG",departments,"J %budget&gt;%budget_avg","P department")</v>
      </c>
    </row>
    <row r="46" spans="1:8" ht="40.75" customHeight="1" x14ac:dyDescent="0.2">
      <c r="H46" s="1" t="str">
        <f>[1]!relFilter(departments,"P budget AVG",departments,"J %budget&gt;%budget_avg","P department")</f>
        <v>department _x000D_Human Resources</v>
      </c>
    </row>
    <row r="47" spans="1:8" x14ac:dyDescent="0.2">
      <c r="A47" s="2" t="s">
        <v>148</v>
      </c>
      <c r="H47" s="2" t="str">
        <f ca="1">_xlfn.FORMULATEXT(H48)</f>
        <v>=relFilter(employees,"P depid::ssn COUNT","S %ssn_count&gt;2",departments,"J NATURAL","P department")</v>
      </c>
    </row>
    <row r="48" spans="1:8" ht="53.5" customHeight="1" x14ac:dyDescent="0.2">
      <c r="H48" s="1" t="str">
        <f>[1]!relFilter(employees,"P depid::ssn COUNT","S %ssn_count&gt;2",departments,"J NATURAL","P department")</f>
        <v>department _x000D_Human Resources _x000D_IT</v>
      </c>
    </row>
    <row r="49" spans="1:8" x14ac:dyDescent="0.2">
      <c r="A49" s="2" t="s">
        <v>149</v>
      </c>
      <c r="H49" s="2" t="str">
        <f ca="1">_xlfn.FORMULATEXT(H50)</f>
        <v>=relFilter(departments,"O budget 1","L 2 1",employees,"J NATURAL","P name::lastname")</v>
      </c>
    </row>
    <row r="50" spans="1:8" ht="57.5" customHeight="1" x14ac:dyDescent="0.2">
      <c r="H50" s="1" t="str">
        <f>[1]!relFilter(departments,"O budget 1","L 2 1",employees,"J NATURAL","P name::lastname")</f>
        <v>name::lastname _x000D_George::ODonnell _x000D_David::Smith</v>
      </c>
    </row>
  </sheetData>
  <pageMargins left="0.75" right="0.75" top="1" bottom="1" header="0.5" footer="0.5"/>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48"/>
  <sheetViews>
    <sheetView showRuler="0" topLeftCell="A32" zoomScaleNormal="100" zoomScalePageLayoutView="70" workbookViewId="0">
      <selection activeCell="H46" sqref="H46"/>
    </sheetView>
  </sheetViews>
  <sheetFormatPr baseColWidth="10" defaultRowHeight="16" x14ac:dyDescent="0.2"/>
  <cols>
    <col min="4" max="4" width="22.83203125" customWidth="1"/>
    <col min="8" max="8" width="41.83203125" customWidth="1"/>
  </cols>
  <sheetData>
    <row r="1" spans="1:10" x14ac:dyDescent="0.2">
      <c r="A1" s="12" t="s">
        <v>41</v>
      </c>
      <c r="B1" s="12"/>
      <c r="C1" s="10"/>
      <c r="D1" s="10"/>
      <c r="E1" s="10"/>
      <c r="F1" s="10"/>
      <c r="G1" s="10"/>
      <c r="H1" s="10"/>
      <c r="I1" s="10"/>
      <c r="J1" s="10"/>
    </row>
    <row r="2" spans="1:10" x14ac:dyDescent="0.2">
      <c r="A2" s="10"/>
      <c r="B2" s="10"/>
      <c r="C2" s="10"/>
      <c r="D2" s="10"/>
      <c r="E2" s="10"/>
      <c r="F2" s="10"/>
      <c r="G2" s="10"/>
      <c r="H2" s="10"/>
      <c r="I2" s="10"/>
      <c r="J2" s="10"/>
    </row>
    <row r="3" spans="1:10" x14ac:dyDescent="0.2">
      <c r="A3" s="10" t="s">
        <v>151</v>
      </c>
      <c r="B3" s="10"/>
      <c r="C3" s="10"/>
      <c r="D3" s="10"/>
      <c r="E3" s="10"/>
      <c r="F3" s="10"/>
      <c r="G3" s="10"/>
      <c r="H3" s="10"/>
      <c r="I3" s="10"/>
      <c r="J3" s="10"/>
    </row>
    <row r="4" spans="1:10" x14ac:dyDescent="0.2">
      <c r="A4" s="10"/>
      <c r="B4" s="10"/>
      <c r="C4" s="10"/>
      <c r="D4" s="10"/>
      <c r="E4" s="10"/>
      <c r="F4" s="10"/>
      <c r="G4" s="10"/>
      <c r="H4" s="10"/>
      <c r="I4" s="10"/>
      <c r="J4" s="10"/>
    </row>
    <row r="5" spans="1:10" x14ac:dyDescent="0.2">
      <c r="A5" s="10"/>
      <c r="B5" s="10"/>
      <c r="C5" s="10"/>
      <c r="D5" s="10"/>
      <c r="E5" s="10"/>
      <c r="F5" s="10"/>
      <c r="G5" s="10"/>
      <c r="H5" s="10"/>
      <c r="I5" s="10"/>
      <c r="J5" s="10"/>
    </row>
    <row r="6" spans="1:10" x14ac:dyDescent="0.2">
      <c r="A6" s="12" t="s">
        <v>22</v>
      </c>
      <c r="B6" s="10"/>
      <c r="C6" s="12" t="s">
        <v>152</v>
      </c>
      <c r="D6" s="12"/>
      <c r="F6" s="10"/>
      <c r="G6" s="12" t="s">
        <v>159</v>
      </c>
      <c r="H6" s="12"/>
      <c r="I6" s="10"/>
      <c r="J6" s="10"/>
    </row>
    <row r="7" spans="1:10" x14ac:dyDescent="0.2">
      <c r="C7" t="s">
        <v>279</v>
      </c>
      <c r="D7" t="s">
        <v>153</v>
      </c>
      <c r="E7" t="s">
        <v>154</v>
      </c>
      <c r="G7" t="s">
        <v>280</v>
      </c>
      <c r="H7" t="s">
        <v>160</v>
      </c>
      <c r="I7" t="s">
        <v>161</v>
      </c>
      <c r="J7" t="s">
        <v>279</v>
      </c>
    </row>
    <row r="8" spans="1:10" x14ac:dyDescent="0.2">
      <c r="C8">
        <v>1</v>
      </c>
      <c r="D8" t="s">
        <v>155</v>
      </c>
      <c r="E8">
        <v>3</v>
      </c>
      <c r="G8" t="s">
        <v>162</v>
      </c>
      <c r="H8" t="s">
        <v>163</v>
      </c>
      <c r="I8">
        <v>180</v>
      </c>
      <c r="J8">
        <v>3</v>
      </c>
    </row>
    <row r="9" spans="1:10" x14ac:dyDescent="0.2">
      <c r="C9">
        <v>2</v>
      </c>
      <c r="D9" t="s">
        <v>155</v>
      </c>
      <c r="E9">
        <v>4</v>
      </c>
      <c r="G9" t="s">
        <v>164</v>
      </c>
      <c r="H9" t="s">
        <v>163</v>
      </c>
      <c r="I9">
        <v>250</v>
      </c>
      <c r="J9">
        <v>1</v>
      </c>
    </row>
    <row r="10" spans="1:10" x14ac:dyDescent="0.2">
      <c r="C10">
        <v>3</v>
      </c>
      <c r="D10" t="s">
        <v>156</v>
      </c>
      <c r="E10">
        <v>7</v>
      </c>
      <c r="G10" t="s">
        <v>165</v>
      </c>
      <c r="H10" t="s">
        <v>166</v>
      </c>
      <c r="I10">
        <v>190</v>
      </c>
      <c r="J10">
        <v>4</v>
      </c>
    </row>
    <row r="11" spans="1:10" x14ac:dyDescent="0.2">
      <c r="C11">
        <v>4</v>
      </c>
      <c r="D11" t="s">
        <v>157</v>
      </c>
      <c r="E11">
        <v>2</v>
      </c>
      <c r="G11" t="s">
        <v>167</v>
      </c>
      <c r="H11" t="s">
        <v>163</v>
      </c>
      <c r="I11">
        <v>200</v>
      </c>
      <c r="J11">
        <v>1</v>
      </c>
    </row>
    <row r="12" spans="1:10" x14ac:dyDescent="0.2">
      <c r="C12">
        <v>5</v>
      </c>
      <c r="D12" t="s">
        <v>158</v>
      </c>
      <c r="E12">
        <v>8</v>
      </c>
      <c r="G12" t="s">
        <v>168</v>
      </c>
      <c r="H12" t="s">
        <v>169</v>
      </c>
      <c r="I12">
        <v>75</v>
      </c>
      <c r="J12">
        <v>1</v>
      </c>
    </row>
    <row r="13" spans="1:10" x14ac:dyDescent="0.2">
      <c r="G13" t="s">
        <v>170</v>
      </c>
      <c r="H13" t="s">
        <v>169</v>
      </c>
      <c r="I13">
        <v>50</v>
      </c>
      <c r="J13">
        <v>3</v>
      </c>
    </row>
    <row r="14" spans="1:10" x14ac:dyDescent="0.2">
      <c r="G14" t="s">
        <v>171</v>
      </c>
      <c r="H14" t="s">
        <v>169</v>
      </c>
      <c r="I14">
        <v>175</v>
      </c>
      <c r="J14">
        <v>2</v>
      </c>
    </row>
    <row r="15" spans="1:10" x14ac:dyDescent="0.2">
      <c r="G15" t="s">
        <v>172</v>
      </c>
      <c r="H15" t="s">
        <v>163</v>
      </c>
      <c r="I15">
        <v>140</v>
      </c>
      <c r="J15">
        <v>4</v>
      </c>
    </row>
    <row r="16" spans="1:10" x14ac:dyDescent="0.2">
      <c r="G16" t="s">
        <v>173</v>
      </c>
      <c r="H16" t="s">
        <v>166</v>
      </c>
      <c r="I16">
        <v>125</v>
      </c>
      <c r="J16">
        <v>1</v>
      </c>
    </row>
    <row r="17" spans="1:10" x14ac:dyDescent="0.2">
      <c r="G17" t="s">
        <v>174</v>
      </c>
      <c r="H17" t="s">
        <v>166</v>
      </c>
      <c r="I17">
        <v>150</v>
      </c>
      <c r="J17">
        <v>2</v>
      </c>
    </row>
    <row r="19" spans="1:10" x14ac:dyDescent="0.2">
      <c r="A19" s="12" t="s">
        <v>27</v>
      </c>
      <c r="D19" s="2" t="str">
        <f ca="1">_xlfn.FORMULATEXT(D20)</f>
        <v>=relRange(C7:E12)</v>
      </c>
      <c r="H19" s="2" t="str">
        <f ca="1">_xlfn.FORMULATEXT(H20)</f>
        <v>=relRange(G7:J17)</v>
      </c>
    </row>
    <row r="20" spans="1:10" ht="102" x14ac:dyDescent="0.2">
      <c r="D20" s="1" t="str">
        <f>[1]!relRange(C7:E12)</f>
        <v>wid::location::capacity _x000D_1::Chicago::3 _x000D_2::Chicago::4 _x000D_3::New York::7 _x000D_4::Los Angeles::2 _x000D_5::San Francisco::8</v>
      </c>
      <c r="H20" s="13" t="str">
        <f>[1]!relRange(G7:J17)</f>
        <v>boxid::contents::value::wid _x000D_0MN7::Rocks::180::3 _x000D_4H8P::Rocks::250::1 _x000D_4RT3::Scissors::190::4 _x000D_7G3H::Rocks::200::1 _x000D_8JN6::Papers::75::1 _x000D_8Y6U::Papers::50::3 _x000D_9J6F::Papers::175::2 _x000D_LL08::Rocks::140::4 _x000D_P0H6::Scissors::125::1 _x000D_P2T6::Scissors::150::2</v>
      </c>
    </row>
    <row r="22" spans="1:10" x14ac:dyDescent="0.2">
      <c r="A22" s="2" t="s">
        <v>175</v>
      </c>
      <c r="H22" s="2" t="str">
        <f ca="1">_xlfn.FORMULATEXT(H23)</f>
        <v>=relSelect(boxes,"%value&gt;150")</v>
      </c>
    </row>
    <row r="23" spans="1:10" ht="96" customHeight="1" x14ac:dyDescent="0.2">
      <c r="H23" s="1" t="str">
        <f>[1]!relSelect(boxes,"%value&gt;150")</f>
        <v>boxid::contents::value::wid _x000D_0MN7::Rocks::180::3 _x000D_4H8P::Rocks::250::1 _x000D_4RT3::Scissors::190::4 _x000D_7G3H::Rocks::200::1 _x000D_9J6F::Papers::175::2</v>
      </c>
    </row>
    <row r="24" spans="1:10" x14ac:dyDescent="0.2">
      <c r="H24" s="9"/>
    </row>
    <row r="25" spans="1:10" x14ac:dyDescent="0.2">
      <c r="A25" s="2" t="s">
        <v>176</v>
      </c>
      <c r="H25" s="2" t="str">
        <f ca="1">_xlfn.FORMULATEXT(H26)</f>
        <v>=relProject(boxes,"contents")</v>
      </c>
    </row>
    <row r="26" spans="1:10" ht="78" customHeight="1" x14ac:dyDescent="0.2">
      <c r="H26" s="1" t="str">
        <f>[1]!relProject(boxes,"contents")</f>
        <v>contents _x000D_Papers _x000D_Rocks _x000D_Scissors</v>
      </c>
    </row>
    <row r="27" spans="1:10" x14ac:dyDescent="0.2">
      <c r="A27" s="2" t="s">
        <v>177</v>
      </c>
      <c r="H27" s="2" t="str">
        <f ca="1">_xlfn.FORMULATEXT(H28)</f>
        <v>=relFilter(boxes,"P value AVG","C")</v>
      </c>
    </row>
    <row r="28" spans="1:10" x14ac:dyDescent="0.2">
      <c r="H28">
        <f>[1]!relFilter(boxes,"P value AVG","C")</f>
        <v>153.5</v>
      </c>
    </row>
    <row r="29" spans="1:10" x14ac:dyDescent="0.2">
      <c r="A29" s="2" t="s">
        <v>178</v>
      </c>
      <c r="H29" s="2" t="str">
        <f ca="1">_xlfn.FORMULATEXT(H30)</f>
        <v>=relFilter(boxes,"P boxid::value AVG")</v>
      </c>
    </row>
    <row r="30" spans="1:10" ht="181.75" customHeight="1" x14ac:dyDescent="0.2">
      <c r="H30" s="1" t="str">
        <f>[1]!relFilter(boxes,"P boxid::value AVG")</f>
        <v>boxid::value_avg _x000D_0MN7::180 _x000D_4H8P::250 _x000D_4RT3::190 _x000D_7G3H::200 _x000D_8JN6::75 _x000D_8Y6U::50 _x000D_9J6F::175 _x000D_LL08::140 _x000D_P0H6::125 _x000D_P2T6::150</v>
      </c>
    </row>
    <row r="31" spans="1:10" x14ac:dyDescent="0.2">
      <c r="A31" s="2" t="s">
        <v>179</v>
      </c>
      <c r="H31" s="2" t="str">
        <f ca="1">_xlfn.FORMULATEXT(H32)</f>
        <v>=relFilter(boxes,warehouses,"J NATURAL","P boxid::location")</v>
      </c>
    </row>
    <row r="32" spans="1:10" ht="176.5" customHeight="1" x14ac:dyDescent="0.2">
      <c r="H32" s="1" t="str">
        <f>[1]!relFilter(boxes,warehouses,"J NATURAL","P boxid::location")</f>
        <v>boxid::location _x000D_0MN7::New York _x000D_4H8P::Chicago _x000D_4RT3::Los Angeles _x000D_7G3H::Chicago _x000D_8JN6::Chicago _x000D_8Y6U::New York _x000D_9J6F::Chicago _x000D_LL08::Los Angeles _x000D_P0H6::Chicago _x000D_P2T6::Chicago</v>
      </c>
    </row>
    <row r="33" spans="1:8" x14ac:dyDescent="0.2">
      <c r="A33" s="2" t="s">
        <v>180</v>
      </c>
      <c r="H33" s="2" t="str">
        <f ca="1">_xlfn.FORMULATEXT(H34)</f>
        <v>=relFilter(boxes,warehouses,"J NATURAL","P wid::boxid COUNT")</v>
      </c>
    </row>
    <row r="34" spans="1:8" ht="91.25" customHeight="1" x14ac:dyDescent="0.2">
      <c r="H34" s="1" t="str">
        <f>[1]!relFilter(boxes,warehouses,"J NATURAL","P wid::boxid COUNT")</f>
        <v>wid::boxid_count _x000D_3::2 _x000D_4::2 _x000D_1::4 _x000D_2::2</v>
      </c>
    </row>
    <row r="35" spans="1:8" x14ac:dyDescent="0.2">
      <c r="A35" s="2" t="s">
        <v>181</v>
      </c>
    </row>
    <row r="36" spans="1:8" x14ac:dyDescent="0.2">
      <c r="A36" s="2"/>
      <c r="H36" s="2" t="str">
        <f ca="1">_xlfn.FORMULATEXT(H37)</f>
        <v>=relFilter(warehouses,boxes,"E c 1","J LEFT","P wid::c SUM")</v>
      </c>
    </row>
    <row r="37" spans="1:8" ht="100.25" customHeight="1" x14ac:dyDescent="0.2">
      <c r="H37" s="1" t="str">
        <f>[1]!relFilter(warehouses,boxes,"E c 1","J LEFT","P wid::c SUM")</f>
        <v>wid::c_sum _x000D_1::4 _x000D_2::2 _x000D_3::2 _x000D_4::2 _x000D_5::0</v>
      </c>
    </row>
    <row r="38" spans="1:8" x14ac:dyDescent="0.2">
      <c r="A38" t="s">
        <v>281</v>
      </c>
    </row>
    <row r="39" spans="1:8" x14ac:dyDescent="0.2">
      <c r="A39" s="2" t="s">
        <v>182</v>
      </c>
    </row>
    <row r="40" spans="1:8" x14ac:dyDescent="0.2">
      <c r="H40" s="2" t="str">
        <f ca="1">_xlfn.FORMULATEXT(H41)</f>
        <v>=relFilter(warehouses,boxes,"E c 1","J LEFT",)</v>
      </c>
    </row>
    <row r="41" spans="1:8" ht="193.25" customHeight="1" x14ac:dyDescent="0.2">
      <c r="H41" s="18" t="str">
        <f>[1]!relFilter(warehouses,boxes,"E c 1","J LEFT",)</f>
        <v>wid::location::capacity::boxid::contents::value::c _x000D_1::Chicago::3::4H8P::Rocks::250::1 _x000D_1::Chicago::3::7G3H::Rocks::200::1 _x000D_1::Chicago::3::8JN6::Papers::75::1 _x000D_1::Chicago::3::P0H6::Scissors::125::1 _x000D_2::Chicago::4::9J6F::Papers::175::1 _x000D_2::Chicago::4::P2T6::Scissors::150::1 _x000D_3::New York::7::0MN7::Rocks::180::1 _x000D_3::New York::7::8Y6U::Papers::50::1 _x000D_4::Los Angeles::2::4RT3::Scissors::190::1 _x000D_4::Los Angeles::2::LL08::Rocks::140::1 _x000D_5::San Francisco::8::::::::</v>
      </c>
    </row>
    <row r="42" spans="1:8" x14ac:dyDescent="0.2">
      <c r="H42" s="2" t="str">
        <f ca="1">_xlfn.FORMULATEXT(H43)</f>
        <v>=relProject(H41,"wid::capacity::boxid COUNT")</v>
      </c>
    </row>
    <row r="43" spans="1:8" ht="34" x14ac:dyDescent="0.2">
      <c r="H43" s="1" t="str">
        <f>[1]!relProject(H41,"wid::capacity::boxid COUNT")</f>
        <v>wid::capacity::boxid_count _x000D_1::3::4 _x000D_2::4::2 _x000D_3::7::2 _x000D_4::2::2 _x000D_5::8::1</v>
      </c>
    </row>
    <row r="44" spans="1:8" x14ac:dyDescent="0.2">
      <c r="H44" s="2" t="str">
        <f ca="1">_xlfn.FORMULATEXT(H45)</f>
        <v>=relSelect(H43,"%boxid_count&gt;%capacity")</v>
      </c>
    </row>
    <row r="45" spans="1:8" ht="17" x14ac:dyDescent="0.2">
      <c r="H45" s="13" t="str">
        <f>[1]!relSelect(H43,"%boxid_count&gt;%capacity")</f>
        <v>wid::capacity::boxid_count _x000D_1::3::4</v>
      </c>
    </row>
    <row r="46" spans="1:8" x14ac:dyDescent="0.2">
      <c r="H46" s="2" t="str">
        <f ca="1">_xlfn.FORMULATEXT(H47)</f>
        <v>=relProject(H45,"wid")</v>
      </c>
    </row>
    <row r="47" spans="1:8" ht="38.5" customHeight="1" x14ac:dyDescent="0.2">
      <c r="H47" s="1" t="str">
        <f>[1]!relProject(H45,"wid")</f>
        <v>wid _x000D_1</v>
      </c>
    </row>
    <row r="48" spans="1:8" x14ac:dyDescent="0.2">
      <c r="A48" t="s">
        <v>183</v>
      </c>
    </row>
  </sheetData>
  <pageMargins left="0.75" right="0.75" top="1" bottom="1" header="0.5" footer="0.5"/>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39"/>
  <sheetViews>
    <sheetView showRuler="0" topLeftCell="A21" zoomScaleNormal="100" zoomScalePageLayoutView="73" workbookViewId="0">
      <selection activeCell="H52" sqref="H52"/>
    </sheetView>
  </sheetViews>
  <sheetFormatPr baseColWidth="10" defaultRowHeight="16" x14ac:dyDescent="0.2"/>
  <cols>
    <col min="7" max="7" width="15" customWidth="1"/>
    <col min="8" max="8" width="53" customWidth="1"/>
    <col min="9" max="9" width="35" customWidth="1"/>
    <col min="10" max="10" width="37" customWidth="1"/>
    <col min="11" max="11" width="27.83203125" customWidth="1"/>
    <col min="12" max="12" width="31.6640625" customWidth="1"/>
  </cols>
  <sheetData>
    <row r="1" spans="1:12" x14ac:dyDescent="0.2">
      <c r="A1" s="12" t="s">
        <v>41</v>
      </c>
      <c r="B1" s="12"/>
      <c r="C1" s="10"/>
      <c r="D1" s="10"/>
      <c r="E1" s="10"/>
      <c r="F1" s="10"/>
      <c r="G1" s="10"/>
      <c r="H1" s="10"/>
      <c r="I1" s="10"/>
      <c r="J1" s="10"/>
    </row>
    <row r="2" spans="1:12" x14ac:dyDescent="0.2">
      <c r="A2" s="10"/>
      <c r="B2" s="10"/>
      <c r="C2" s="10"/>
      <c r="D2" s="10"/>
      <c r="E2" s="10"/>
      <c r="F2" s="10"/>
      <c r="G2" s="10"/>
      <c r="H2" s="10"/>
      <c r="I2" s="10"/>
      <c r="J2" s="10"/>
    </row>
    <row r="3" spans="1:12" x14ac:dyDescent="0.2">
      <c r="A3" s="10" t="s">
        <v>184</v>
      </c>
      <c r="B3" s="10"/>
      <c r="C3" s="10"/>
      <c r="D3" s="10"/>
      <c r="E3" s="10"/>
      <c r="F3" s="10"/>
      <c r="G3" s="10"/>
      <c r="H3" s="10"/>
      <c r="I3" s="10"/>
      <c r="J3" s="10"/>
    </row>
    <row r="4" spans="1:12" x14ac:dyDescent="0.2">
      <c r="A4" s="10"/>
      <c r="B4" s="10"/>
      <c r="C4" s="10"/>
      <c r="D4" s="10"/>
      <c r="E4" s="10"/>
      <c r="F4" s="10"/>
      <c r="G4" s="10"/>
      <c r="H4" s="10"/>
      <c r="I4" s="10"/>
      <c r="J4" s="10"/>
    </row>
    <row r="5" spans="1:12" x14ac:dyDescent="0.2">
      <c r="A5" s="10"/>
      <c r="B5" s="10"/>
      <c r="C5" s="10"/>
      <c r="D5" s="10"/>
      <c r="E5" s="10"/>
      <c r="F5" s="10"/>
      <c r="G5" s="10"/>
      <c r="H5" s="10"/>
      <c r="I5" s="10"/>
      <c r="J5" s="10"/>
    </row>
    <row r="6" spans="1:12" x14ac:dyDescent="0.2">
      <c r="A6" s="12" t="s">
        <v>22</v>
      </c>
      <c r="B6" s="10"/>
      <c r="C6" s="12" t="s">
        <v>185</v>
      </c>
      <c r="D6" s="12"/>
      <c r="F6" s="10"/>
      <c r="G6" s="12" t="s">
        <v>190</v>
      </c>
      <c r="H6" s="12"/>
      <c r="I6" s="10"/>
      <c r="J6" s="10"/>
      <c r="K6" s="2" t="s">
        <v>194</v>
      </c>
    </row>
    <row r="7" spans="1:12" x14ac:dyDescent="0.2">
      <c r="C7" t="s">
        <v>325</v>
      </c>
      <c r="D7" t="s">
        <v>328</v>
      </c>
      <c r="G7" t="s">
        <v>325</v>
      </c>
      <c r="H7" t="s">
        <v>326</v>
      </c>
      <c r="I7" t="s">
        <v>7</v>
      </c>
      <c r="K7" t="s">
        <v>326</v>
      </c>
      <c r="L7" t="s">
        <v>327</v>
      </c>
    </row>
    <row r="8" spans="1:12" x14ac:dyDescent="0.2">
      <c r="C8">
        <v>1</v>
      </c>
      <c r="D8" t="s">
        <v>186</v>
      </c>
      <c r="G8">
        <v>1</v>
      </c>
      <c r="H8" t="s">
        <v>191</v>
      </c>
      <c r="I8">
        <v>10</v>
      </c>
      <c r="K8" t="s">
        <v>191</v>
      </c>
      <c r="L8" t="s">
        <v>195</v>
      </c>
    </row>
    <row r="9" spans="1:12" x14ac:dyDescent="0.2">
      <c r="C9">
        <v>2</v>
      </c>
      <c r="D9" t="s">
        <v>187</v>
      </c>
      <c r="G9">
        <v>1</v>
      </c>
      <c r="H9" t="s">
        <v>192</v>
      </c>
      <c r="I9">
        <v>15</v>
      </c>
      <c r="K9" t="s">
        <v>192</v>
      </c>
      <c r="L9" t="s">
        <v>196</v>
      </c>
    </row>
    <row r="10" spans="1:12" x14ac:dyDescent="0.2">
      <c r="C10">
        <v>3</v>
      </c>
      <c r="D10" t="s">
        <v>188</v>
      </c>
      <c r="G10">
        <v>2</v>
      </c>
      <c r="H10" t="s">
        <v>191</v>
      </c>
      <c r="I10">
        <v>20</v>
      </c>
      <c r="K10" t="s">
        <v>193</v>
      </c>
      <c r="L10" t="s">
        <v>197</v>
      </c>
    </row>
    <row r="11" spans="1:12" x14ac:dyDescent="0.2">
      <c r="C11">
        <v>4</v>
      </c>
      <c r="D11" t="s">
        <v>189</v>
      </c>
      <c r="G11">
        <v>2</v>
      </c>
      <c r="H11" t="s">
        <v>192</v>
      </c>
      <c r="I11">
        <v>15</v>
      </c>
    </row>
    <row r="12" spans="1:12" x14ac:dyDescent="0.2">
      <c r="G12">
        <v>2</v>
      </c>
      <c r="H12" t="s">
        <v>193</v>
      </c>
      <c r="I12">
        <v>14</v>
      </c>
    </row>
    <row r="13" spans="1:12" x14ac:dyDescent="0.2">
      <c r="G13">
        <v>3</v>
      </c>
      <c r="H13" t="s">
        <v>192</v>
      </c>
      <c r="I13">
        <v>50</v>
      </c>
    </row>
    <row r="14" spans="1:12" x14ac:dyDescent="0.2">
      <c r="G14">
        <v>3</v>
      </c>
      <c r="H14" t="s">
        <v>193</v>
      </c>
      <c r="I14">
        <v>45</v>
      </c>
    </row>
    <row r="15" spans="1:12" x14ac:dyDescent="0.2">
      <c r="G15">
        <v>4</v>
      </c>
      <c r="H15" t="s">
        <v>191</v>
      </c>
      <c r="I15">
        <v>5</v>
      </c>
    </row>
    <row r="16" spans="1:12" x14ac:dyDescent="0.2">
      <c r="G16">
        <v>4</v>
      </c>
      <c r="H16" t="s">
        <v>192</v>
      </c>
      <c r="I16">
        <v>7</v>
      </c>
    </row>
    <row r="19" spans="1:12" x14ac:dyDescent="0.2">
      <c r="A19" s="2" t="s">
        <v>27</v>
      </c>
      <c r="D19" s="2" t="str">
        <f ca="1">_xlfn.FORMULATEXT(D20)</f>
        <v>=relRange(C7:D11)</v>
      </c>
      <c r="H19" s="2" t="str">
        <f ca="1">_xlfn.FORMULATEXT(H20)</f>
        <v>=relRange(G7:I16)</v>
      </c>
      <c r="L19" s="2" t="str">
        <f ca="1">_xlfn.FORMULATEXT(L20)</f>
        <v>=relRange(K7:L10)</v>
      </c>
    </row>
    <row r="20" spans="1:12" ht="67.25" customHeight="1" x14ac:dyDescent="0.2">
      <c r="D20" s="1" t="str">
        <f>[1]!relRange(C7:D11)</f>
        <v>pid::pname _x000D_1::Sprocket _x000D_2::Screw _x000D_3::Nut _x000D_4::Bolt</v>
      </c>
      <c r="H20" s="1" t="str">
        <f>[1]!relRange(G7:I16)</f>
        <v>pid::eid::price _x000D_1::HAL::10 _x000D_1::RBT::15 _x000D_2::HAL::20 _x000D_2::RBT::15 _x000D_2::TNBC::14 _x000D_3::RBT::50 _x000D_3::TNBC::45 _x000D_4::HAL::5 _x000D_4::RBT::7</v>
      </c>
      <c r="L20" s="1" t="str">
        <f>[1]!relRange(K7:L10)</f>
        <v>eid::ename _x000D_HAL::Clarke Entreprises _x000D_RBT::Susan Calvin Corp. _x000D_TNBC::Skellington Supplies</v>
      </c>
    </row>
    <row r="21" spans="1:12" x14ac:dyDescent="0.2">
      <c r="D21" s="1"/>
      <c r="H21" s="13"/>
      <c r="L21" s="1"/>
    </row>
    <row r="22" spans="1:12" x14ac:dyDescent="0.2">
      <c r="H22" s="13"/>
    </row>
    <row r="23" spans="1:12" x14ac:dyDescent="0.2">
      <c r="A23" s="2" t="s">
        <v>198</v>
      </c>
      <c r="H23" s="2" t="str">
        <f ca="1">_xlfn.FORMULATEXT(H24)</f>
        <v>=relProject(pieces,"pname")</v>
      </c>
    </row>
    <row r="24" spans="1:12" ht="17" x14ac:dyDescent="0.2">
      <c r="H24" s="1" t="str">
        <f>[1]!relProject(pieces,"pname")</f>
        <v>pname _x000D_Sprocket _x000D_Screw _x000D_Nut _x000D_Bolt</v>
      </c>
    </row>
    <row r="26" spans="1:12" x14ac:dyDescent="0.2">
      <c r="A26" s="2" t="s">
        <v>199</v>
      </c>
      <c r="H26" s="2" t="str">
        <f ca="1">_xlfn.FORMULATEXT(H27)</f>
        <v>=relProject(provides,"pid::price AVG")</v>
      </c>
    </row>
    <row r="27" spans="1:12" ht="17" x14ac:dyDescent="0.2">
      <c r="H27" s="1" t="str">
        <f>[1]!relProject(provides,"pid::price AVG")</f>
        <v>pid::price_avg _x000D_1::12.5 _x000D_2::16.3333333333333 _x000D_3::47.5 _x000D_4::6</v>
      </c>
    </row>
    <row r="29" spans="1:12" x14ac:dyDescent="0.2">
      <c r="A29" s="2" t="s">
        <v>200</v>
      </c>
      <c r="H29" s="2" t="str">
        <f ca="1">_xlfn.FORMULATEXT(H30)</f>
        <v>=relFilter(provides,"S %pid=1",providers,"J NATURAL","P ename")</v>
      </c>
      <c r="I29" s="2"/>
      <c r="J29" s="2"/>
    </row>
    <row r="30" spans="1:12" ht="17" x14ac:dyDescent="0.2">
      <c r="H30" s="18" t="str">
        <f>[1]!relFilter(provides,"S %pid=1",providers,"J NATURAL","P ename")</f>
        <v>ename _x000D_Clarke Entreprises _x000D_Susan Calvin Corp.</v>
      </c>
      <c r="I30" s="13"/>
      <c r="J30" s="13"/>
    </row>
    <row r="31" spans="1:12" x14ac:dyDescent="0.2">
      <c r="H31" s="13"/>
      <c r="I31" s="13"/>
      <c r="J31" s="13"/>
    </row>
    <row r="32" spans="1:12" x14ac:dyDescent="0.2">
      <c r="A32" s="2" t="s">
        <v>201</v>
      </c>
      <c r="H32" s="2" t="str">
        <f ca="1">_xlfn.FORMULATEXT(H33)</f>
        <v>=relFilter(providers,"S $eid=""HAL""",provides,"J NATURAL",pieces,"J NATURAL","P pname")</v>
      </c>
      <c r="I32" s="2"/>
      <c r="J32" s="2"/>
    </row>
    <row r="33" spans="1:11" ht="17" x14ac:dyDescent="0.2">
      <c r="H33" s="1" t="str">
        <f>[1]!relFilter(providers,"S $eid=""HAL""",provides,"J NATURAL",pieces,"J NATURAL","P pname")</f>
        <v>pname _x000D_Sprocket _x000D_Screw _x000D_Bolt</v>
      </c>
      <c r="I33" s="13"/>
      <c r="J33" s="13"/>
    </row>
    <row r="35" spans="1:11" x14ac:dyDescent="0.2">
      <c r="A35" s="2" t="s">
        <v>202</v>
      </c>
    </row>
    <row r="36" spans="1:11" x14ac:dyDescent="0.2">
      <c r="G36" s="15"/>
      <c r="H36" s="2" t="str">
        <f ca="1">_xlfn.FORMULATEXT(H37)</f>
        <v>=relFilter(provides,"P pid::price MAX","R price_max price")</v>
      </c>
      <c r="I36" s="15"/>
      <c r="J36" s="15"/>
      <c r="K36" s="15"/>
    </row>
    <row r="37" spans="1:11" ht="79.25" customHeight="1" x14ac:dyDescent="0.2">
      <c r="G37" s="13"/>
      <c r="H37" s="1" t="str">
        <f>[1]!relFilter(provides,"P pid::price MAX","R price_max price")</f>
        <v>pid::price _x000D_1::15 _x000D_2::20 _x000D_3::50 _x000D_4::7</v>
      </c>
      <c r="I37" s="13"/>
      <c r="J37" s="13"/>
      <c r="K37" s="13"/>
    </row>
    <row r="38" spans="1:11" ht="13.75" customHeight="1" x14ac:dyDescent="0.2">
      <c r="G38" s="13"/>
      <c r="H38" s="2" t="str">
        <f ca="1">_xlfn.FORMULATEXT(H39)</f>
        <v>=relFilter(provides,H37,"J NATURAL",providers,"J NATURAL",pieces,"J NATURAL","P pname::ename::price")</v>
      </c>
      <c r="I38" s="13"/>
      <c r="J38" s="13"/>
      <c r="K38" s="13"/>
    </row>
    <row r="39" spans="1:11" ht="17" x14ac:dyDescent="0.2">
      <c r="H39" s="1" t="str">
        <f>[1]!relFilter(provides,H37,"J NATURAL",providers,"J NATURAL",pieces,"J NATURAL","P pname::ename::price")</f>
        <v>pname::ename::price</v>
      </c>
    </row>
  </sheetData>
  <pageMargins left="0.75" right="0.75" top="1" bottom="1" header="0.5" footer="0.5"/>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7"/>
  <sheetViews>
    <sheetView showRuler="0" workbookViewId="0">
      <selection activeCell="E41" sqref="E41"/>
    </sheetView>
  </sheetViews>
  <sheetFormatPr baseColWidth="10" defaultRowHeight="16" x14ac:dyDescent="0.2"/>
  <cols>
    <col min="2" max="2" width="23.6640625" customWidth="1"/>
    <col min="3" max="3" width="6" customWidth="1"/>
    <col min="4" max="4" width="7" customWidth="1"/>
    <col min="6" max="6" width="2.33203125" customWidth="1"/>
    <col min="9" max="9" width="80.5" customWidth="1"/>
    <col min="10" max="10" width="38.83203125" customWidth="1"/>
  </cols>
  <sheetData>
    <row r="1" spans="1:10" x14ac:dyDescent="0.2">
      <c r="A1" s="2" t="s">
        <v>203</v>
      </c>
    </row>
    <row r="2" spans="1:10" x14ac:dyDescent="0.2">
      <c r="A2" s="2" t="s">
        <v>204</v>
      </c>
      <c r="G2" s="2" t="s">
        <v>209</v>
      </c>
      <c r="I2" s="2" t="s">
        <v>225</v>
      </c>
      <c r="J2" s="2" t="s">
        <v>226</v>
      </c>
    </row>
    <row r="3" spans="1:10" ht="135.5" customHeight="1" x14ac:dyDescent="0.2">
      <c r="A3" s="2"/>
      <c r="G3" s="2"/>
      <c r="I3" s="18" t="str">
        <f>[1]!relFilter(I12,I13&amp;[1]!prelNewline()&amp;I20&amp;[1]!prelNewline()&amp;I22,"U")</f>
        <v>Compte::Label::Avoir::Devoir _x000D_1100::Caisse::2913:: _x000D_1200::CCP::4100.5:: _x000D_2800::Capital::::6425.5 _x000D_::PROFIT:: ::-588.00 _x000D_::TOTAL::6425.5::6425.5</v>
      </c>
      <c r="J3" s="18" t="str">
        <f>[1]!relFilter(I14,I15&amp;[1]!prelNewline()&amp;I21&amp;[1]!prelNewline()&amp;I23,"U")</f>
        <v>Compte::Label::Avoir::Devoir _x000D_3100::Achats::600:: _x000D_3800::Salaires::1500:: _x000D_4000::Vente::::2688 _x000D_::PROFIT::-588.00:: _x000D_::TOTAL::2688::2688</v>
      </c>
    </row>
    <row r="4" spans="1:10" ht="16" customHeight="1" x14ac:dyDescent="0.2">
      <c r="A4" s="2"/>
      <c r="G4" s="2"/>
      <c r="I4" s="18"/>
      <c r="J4" s="18"/>
    </row>
    <row r="5" spans="1:10" ht="16" customHeight="1" x14ac:dyDescent="0.2">
      <c r="A5" s="2"/>
      <c r="G5" s="2"/>
      <c r="I5" s="20" t="s">
        <v>247</v>
      </c>
      <c r="J5" s="18"/>
    </row>
    <row r="6" spans="1:10" ht="16" customHeight="1" x14ac:dyDescent="0.2">
      <c r="A6" s="2"/>
      <c r="G6" s="2"/>
      <c r="I6" s="13" t="str">
        <f>[1]!relRange(A24:E107)</f>
        <v>Date::Label::Avoir::Devoir::Montant _x000D_01.01.16::OUVERTURE CAISSE::1100::9000::225 _x000D_01.01.16::OUVERTURE CCP::1200::9000::6200.5 _x000D_01.01.16::OUVERTURE Capital::9000::2800::6425.5 _x000D_06.01.16::Vente livres::1100::4000::249 _x000D_07.01.16::Achat livres::3100::1200::480 _x000D_15.01.16::Vente livres::1100::4000::78 _x000D_20.01.16::Vente livres::1100::4000::145 _x000D_25.01.16::Salaire::3800::1200::750 _x000D_25.01.16::Achat livres::3100::1200::120 _x000D_26.01.16::Vente livres::1100::4000::22 _x000D_02.02.16::Vente livres::1100::4000::80 _x000D_04.01.16::Vente livres::1100::4000::245 _x000D_11.02.16::Vente livres::1100::4000::320 _x000D_16.02.16::Vente livres::1100::4000::110 _x000D_25.02.16::Salaire::3800::1200::750 _x000D_27.02.16::Vente livres::1100::4000::1250 _x000D_28.02.16::Vente livres::1100::4000::189 _x000D_::::::::</v>
      </c>
      <c r="J6" s="8" t="s">
        <v>231</v>
      </c>
    </row>
    <row r="7" spans="1:10" ht="16" customHeight="1" x14ac:dyDescent="0.2">
      <c r="A7" s="2"/>
      <c r="G7" s="2"/>
      <c r="I7" s="13" t="str">
        <f>[1]!relExtend(journal,"-%Montant","Montant2")</f>
        <v>Date::Label::Avoir::Devoir::Montant::Montant2 _x000D_01.01.16::OUVERTURE CAISSE::1100::9000::225::-225 _x000D_01.01.16::OUVERTURE CCP::1200::9000::6200.5::-6200.5 _x000D_01.01.16::OUVERTURE Capital::9000::2800::6425.5::-6425.5 _x000D_06.01.16::Vente livres::1100::4000::249::-249 _x000D_07.01.16::Achat livres::3100::1200::480::-480 _x000D_15.01.16::Vente livres::1100::4000::78::-78 _x000D_20.01.16::Vente livres::1100::4000::145::-145 _x000D_25.01.16::Salaire::3800::1200::750::-750 _x000D_25.01.16::Achat livres::3100::1200::120::-120 _x000D_26.01.16::Vente livres::1100::4000::22::-22 _x000D_02.02.16::Vente livres::1100::4000::80::-80 _x000D_04.01.16::Vente livres::1100::4000::245::-245 _x000D_11.02.16::Vente livres::1100::4000::320::-320 _x000D_16.02.16::Vente livres::1100::4000::110::-110 _x000D_25.02.16::Salaire::3800::1200::750::-750 _x000D_27.02.16::Vente livres::1100::4000::1250::-1250 _x000D_28.02.16::Vente livres::1100::4000::189::-189 _x000D_::::::::::0</v>
      </c>
      <c r="J7" s="8" t="s">
        <v>232</v>
      </c>
    </row>
    <row r="8" spans="1:10" x14ac:dyDescent="0.2">
      <c r="A8" s="2"/>
      <c r="G8" s="2"/>
      <c r="I8" s="17" t="str">
        <f>[1]!relProject(I7,"Date::Label::Avoir::Montant")</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v>
      </c>
      <c r="J8" s="8" t="s">
        <v>233</v>
      </c>
    </row>
    <row r="9" spans="1:10" x14ac:dyDescent="0.2">
      <c r="A9" s="2"/>
      <c r="G9" s="2"/>
      <c r="I9" s="17" t="str">
        <f>[1]!relRename([1]!relProject(I7,"Date::Label::Devoir::Montant2"),"Devoir Avoir::Montant2 Montant")</f>
        <v>Date::Label::Avoir::Montant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9" s="8" t="s">
        <v>234</v>
      </c>
    </row>
    <row r="10" spans="1:10" ht="112.25" customHeight="1" x14ac:dyDescent="0.2">
      <c r="A10" s="2"/>
      <c r="G10" s="2"/>
      <c r="I10" s="1" t="str">
        <f>[1]!relUnion(I8,I9)</f>
        <v>Date::Label::Avoir::Montant _x000D_01.01.16::OUVERTURE CAISSE::1100::225 _x000D_01.01.16::OUVERTURE CCP::1200::6200.5 _x000D_01.01.16::OUVERTURE Capital::9000::6425.5 _x000D_06.01.16::Vente livres::1100::249 _x000D_07.01.16::Achat livres::3100::480 _x000D_15.01.16::Vente livres::1100::78 _x000D_20.01.16::Vente livres::1100::145 _x000D_25.01.16::Salaire::3800::750 _x000D_25.01.16::Achat livres::3100::120 _x000D_26.01.16::Vente livres::1100::22 _x000D_02.02.16::Vente livres::1100::80 _x000D_04.01.16::Vente livres::1100::245 _x000D_11.02.16::Vente livres::1100::320 _x000D_16.02.16::Vente livres::1100::110 _x000D_25.02.16::Salaire::3800::750 _x000D_27.02.16::Vente livres::1100::1250 _x000D_28.02.16::Vente livres::1100::189 _x000D_:::::: _x000D_01.01.16::OUVERTURE CAISSE::9000::-225 _x000D_01.01.16::OUVERTURE CCP::9000::-6200.5 _x000D_01.01.16::OUVERTURE Capital::2800::-6425.5 _x000D_06.01.16::Vente livres::4000::-249 _x000D_07.01.16::Achat livres::1200::-480 _x000D_15.01.16::Vente livres::4000::-78 _x000D_20.01.16::Vente livres::4000::-145 _x000D_25.01.16::Salaire::1200::-750 _x000D_25.01.16::Achat livres::1200::-120 _x000D_26.01.16::Vente livres::4000::-22 _x000D_02.02.16::Vente livres::4000::-80 _x000D_04.01.16::Vente livres::4000::-245 _x000D_11.02.16::Vente livres::4000::-320 _x000D_16.02.16::Vente livres::4000::-110 _x000D_25.02.16::Salaire::1200::-750 _x000D_27.02.16::Vente livres::4000::-1250 _x000D_28.02.16::Vente livres::4000::-189 _x000D_::::::0</v>
      </c>
      <c r="J10" s="8" t="s">
        <v>235</v>
      </c>
    </row>
    <row r="11" spans="1:10" ht="113.5" customHeight="1" x14ac:dyDescent="0.2">
      <c r="A11" s="2"/>
      <c r="G11" s="2"/>
      <c r="I11" s="1" t="str">
        <f>[1]!relFilter(I10,"P Avoir::Montant SUM","R Avoir Compte",G24:H32,"J NATURAL","E Groupe LEFT($Compte,1)")</f>
        <v>Compte::Montant_sum::Label::Groupe _x000D_3100::600::Achats::3 _x000D_3800::1500::Salaires::3 _x000D_1100::2913::Caisse::1 _x000D_9000::0::Ouverture::9 _x000D_2800::-6425.5::Capital::2 _x000D_1200::4100.5::CCP::1 _x000D_4000::-2688::Vente::4</v>
      </c>
      <c r="J11" s="8" t="s">
        <v>236</v>
      </c>
    </row>
    <row r="12" spans="1:10" x14ac:dyDescent="0.2">
      <c r="A12" s="2"/>
      <c r="G12" s="2"/>
      <c r="I12" s="17" t="str">
        <f>[1]!relFilter($I$11,"S %Groupe=1","E Avoir %Montant_sum","E Devoir """"","P Compte::Label::Avoir::Devoir")</f>
        <v>Compte::Label::Avoir::Devoir _x000D_1100::Caisse::2913:: _x000D_1200::CCP::4100.5::</v>
      </c>
      <c r="J12" s="8" t="s">
        <v>237</v>
      </c>
    </row>
    <row r="13" spans="1:10" x14ac:dyDescent="0.2">
      <c r="A13" s="2"/>
      <c r="G13" s="2"/>
      <c r="I13" s="17" t="str">
        <f>[1]!relFilter($I$11,"S %Groupe=2","E Devoir -%Montant_sum","E Avoir """"","P Compte::Label::Avoir::Devoir")</f>
        <v>Compte::Label::Avoir::Devoir _x000D_2800::Capital::::6425.5</v>
      </c>
      <c r="J13" s="8" t="s">
        <v>238</v>
      </c>
    </row>
    <row r="14" spans="1:10" x14ac:dyDescent="0.2">
      <c r="A14" s="2"/>
      <c r="G14" s="2"/>
      <c r="I14" s="17" t="str">
        <f>[1]!relFilter($I$11,"S %Groupe=3","E Avoir %Montant_sum","E Devoir """"","P Compte::Label::Avoir::Devoir")</f>
        <v>Compte::Label::Avoir::Devoir _x000D_3100::Achats::600:: _x000D_3800::Salaires::1500::</v>
      </c>
      <c r="J14" s="8" t="s">
        <v>239</v>
      </c>
    </row>
    <row r="15" spans="1:10" x14ac:dyDescent="0.2">
      <c r="A15" s="2"/>
      <c r="G15" s="2"/>
      <c r="I15" s="17" t="str">
        <f>[1]!relFilter($I$11,"S %Groupe=4","E Devoir -%Montant_sum","E Avoir """"","P Compte::Label::Avoir::Devoir")</f>
        <v>Compte::Label::Avoir::Devoir _x000D_4000::Vente::::2688</v>
      </c>
      <c r="J15" s="8" t="s">
        <v>240</v>
      </c>
    </row>
    <row r="16" spans="1:10" x14ac:dyDescent="0.2">
      <c r="A16" s="2"/>
      <c r="G16" s="2"/>
      <c r="I16" s="17">
        <f>[1]!relFilter(I12,"P Avoir SUM","Z")</f>
        <v>7013.5</v>
      </c>
      <c r="J16" s="8" t="s">
        <v>241</v>
      </c>
    </row>
    <row r="17" spans="1:10" x14ac:dyDescent="0.2">
      <c r="A17" s="2"/>
      <c r="G17" s="2"/>
      <c r="I17" s="17">
        <f>[1]!relFilter(I13,"P Devoir SUM","Z")</f>
        <v>6425.5</v>
      </c>
      <c r="J17" s="8" t="s">
        <v>242</v>
      </c>
    </row>
    <row r="18" spans="1:10" x14ac:dyDescent="0.2">
      <c r="A18" s="2"/>
      <c r="G18" s="2"/>
      <c r="I18" s="17">
        <f>[1]!relFilter(I14,"P Avoir SUM","Z")</f>
        <v>2100</v>
      </c>
      <c r="J18" s="8" t="s">
        <v>244</v>
      </c>
    </row>
    <row r="19" spans="1:10" x14ac:dyDescent="0.2">
      <c r="A19" s="2"/>
      <c r="G19" s="2"/>
      <c r="I19" s="17">
        <f>[1]!relFilter(I15,"P Devoir SUM","Z")</f>
        <v>2688</v>
      </c>
      <c r="J19" s="8" t="s">
        <v>245</v>
      </c>
    </row>
    <row r="20" spans="1:10" x14ac:dyDescent="0.2">
      <c r="A20" s="2"/>
      <c r="G20" s="2"/>
      <c r="I20" s="17" t="str">
        <f>"::PROFIT:: ::"&amp;TEXT(I16-I17,"-0.00")</f>
        <v>::PROFIT:: ::-588.00</v>
      </c>
      <c r="J20" s="8" t="s">
        <v>243</v>
      </c>
    </row>
    <row r="21" spans="1:10" x14ac:dyDescent="0.2">
      <c r="A21" s="2"/>
      <c r="G21" s="2"/>
      <c r="I21" s="17" t="str">
        <f>"::PROFIT::"&amp;TEXT(I19-I18,"-0.00")&amp;"::"</f>
        <v>::PROFIT::-588.00::</v>
      </c>
      <c r="J21" s="8" t="s">
        <v>243</v>
      </c>
    </row>
    <row r="22" spans="1:10" x14ac:dyDescent="0.2">
      <c r="A22" s="2"/>
      <c r="G22" s="2"/>
      <c r="I22" s="17" t="str">
        <f>"::TOTAL::"&amp;I17&amp;"::"&amp;I17</f>
        <v>::TOTAL::6425.5::6425.5</v>
      </c>
      <c r="J22" s="8" t="s">
        <v>348</v>
      </c>
    </row>
    <row r="23" spans="1:10" x14ac:dyDescent="0.2">
      <c r="A23" s="2"/>
      <c r="G23" s="2"/>
      <c r="I23" s="17" t="str">
        <f>"::TOTAL::"&amp;I19&amp;"::"&amp;I19</f>
        <v>::TOTAL::2688::2688</v>
      </c>
      <c r="J23" s="8" t="s">
        <v>246</v>
      </c>
    </row>
    <row r="24" spans="1:10" x14ac:dyDescent="0.2">
      <c r="A24" t="s">
        <v>205</v>
      </c>
      <c r="B24" t="s">
        <v>211</v>
      </c>
      <c r="C24" t="s">
        <v>206</v>
      </c>
      <c r="D24" t="s">
        <v>207</v>
      </c>
      <c r="E24" t="s">
        <v>208</v>
      </c>
      <c r="G24" t="s">
        <v>210</v>
      </c>
      <c r="H24" t="s">
        <v>211</v>
      </c>
      <c r="I24" s="17"/>
      <c r="J24" s="2"/>
    </row>
    <row r="25" spans="1:10" x14ac:dyDescent="0.2">
      <c r="A25" s="6">
        <v>42370</v>
      </c>
      <c r="B25" t="s">
        <v>219</v>
      </c>
      <c r="C25">
        <v>1100</v>
      </c>
      <c r="D25">
        <v>9000</v>
      </c>
      <c r="E25" s="16">
        <v>225</v>
      </c>
      <c r="F25" s="16"/>
      <c r="G25">
        <v>1100</v>
      </c>
      <c r="H25" t="s">
        <v>212</v>
      </c>
      <c r="I25" s="17"/>
      <c r="J25" s="2"/>
    </row>
    <row r="26" spans="1:10" x14ac:dyDescent="0.2">
      <c r="A26" s="6">
        <v>42370</v>
      </c>
      <c r="B26" t="s">
        <v>230</v>
      </c>
      <c r="C26">
        <v>1200</v>
      </c>
      <c r="D26">
        <v>9000</v>
      </c>
      <c r="E26" s="16">
        <v>6200.5</v>
      </c>
      <c r="G26">
        <v>1200</v>
      </c>
      <c r="H26" t="s">
        <v>220</v>
      </c>
      <c r="I26" s="17"/>
      <c r="J26" s="2"/>
    </row>
    <row r="27" spans="1:10" x14ac:dyDescent="0.2">
      <c r="A27" s="6">
        <v>42370</v>
      </c>
      <c r="B27" t="s">
        <v>221</v>
      </c>
      <c r="C27">
        <v>9000</v>
      </c>
      <c r="D27">
        <v>2800</v>
      </c>
      <c r="E27" s="16">
        <v>6425.5</v>
      </c>
      <c r="G27">
        <v>2800</v>
      </c>
      <c r="H27" t="s">
        <v>213</v>
      </c>
      <c r="I27" s="17"/>
      <c r="J27" s="2"/>
    </row>
    <row r="28" spans="1:10" x14ac:dyDescent="0.2">
      <c r="A28" s="6">
        <v>42375</v>
      </c>
      <c r="B28" t="s">
        <v>224</v>
      </c>
      <c r="C28">
        <v>1100</v>
      </c>
      <c r="D28">
        <v>4000</v>
      </c>
      <c r="E28" s="16">
        <v>249</v>
      </c>
      <c r="G28">
        <v>3100</v>
      </c>
      <c r="H28" t="s">
        <v>214</v>
      </c>
      <c r="I28" s="17"/>
      <c r="J28" s="2"/>
    </row>
    <row r="29" spans="1:10" x14ac:dyDescent="0.2">
      <c r="A29" s="6">
        <v>42376</v>
      </c>
      <c r="B29" t="s">
        <v>222</v>
      </c>
      <c r="C29">
        <v>3100</v>
      </c>
      <c r="D29">
        <v>1200</v>
      </c>
      <c r="E29" s="16">
        <v>480</v>
      </c>
      <c r="G29">
        <v>3800</v>
      </c>
      <c r="H29" t="s">
        <v>215</v>
      </c>
      <c r="I29" s="17"/>
      <c r="J29" s="2"/>
    </row>
    <row r="30" spans="1:10" x14ac:dyDescent="0.2">
      <c r="A30" s="6">
        <v>42384</v>
      </c>
      <c r="B30" t="s">
        <v>224</v>
      </c>
      <c r="C30">
        <v>1100</v>
      </c>
      <c r="D30">
        <v>4000</v>
      </c>
      <c r="E30" s="16">
        <v>78</v>
      </c>
      <c r="G30">
        <v>4000</v>
      </c>
      <c r="H30" t="s">
        <v>216</v>
      </c>
      <c r="I30" s="17"/>
      <c r="J30" s="2"/>
    </row>
    <row r="31" spans="1:10" x14ac:dyDescent="0.2">
      <c r="A31" s="6">
        <v>42389</v>
      </c>
      <c r="B31" t="s">
        <v>224</v>
      </c>
      <c r="C31">
        <v>1100</v>
      </c>
      <c r="D31">
        <v>4000</v>
      </c>
      <c r="E31" s="16">
        <v>145</v>
      </c>
      <c r="G31">
        <v>9000</v>
      </c>
      <c r="H31" t="s">
        <v>217</v>
      </c>
      <c r="I31" s="17"/>
      <c r="J31" s="2"/>
    </row>
    <row r="32" spans="1:10" x14ac:dyDescent="0.2">
      <c r="A32" s="6">
        <v>42394</v>
      </c>
      <c r="B32" t="s">
        <v>223</v>
      </c>
      <c r="C32">
        <v>3800</v>
      </c>
      <c r="D32">
        <v>1200</v>
      </c>
      <c r="E32" s="16">
        <v>750</v>
      </c>
      <c r="G32">
        <v>9001</v>
      </c>
      <c r="H32" t="s">
        <v>218</v>
      </c>
      <c r="I32" s="17"/>
      <c r="J32" s="2"/>
    </row>
    <row r="33" spans="1:10" x14ac:dyDescent="0.2">
      <c r="A33" s="6">
        <v>42394</v>
      </c>
      <c r="B33" t="s">
        <v>222</v>
      </c>
      <c r="C33">
        <v>3100</v>
      </c>
      <c r="D33">
        <v>1200</v>
      </c>
      <c r="E33" s="16">
        <v>120</v>
      </c>
      <c r="I33" s="17"/>
      <c r="J33" s="2"/>
    </row>
    <row r="34" spans="1:10" x14ac:dyDescent="0.2">
      <c r="A34" s="6">
        <v>42395</v>
      </c>
      <c r="B34" t="s">
        <v>224</v>
      </c>
      <c r="C34">
        <v>1100</v>
      </c>
      <c r="D34">
        <v>4000</v>
      </c>
      <c r="E34" s="16">
        <v>22</v>
      </c>
      <c r="I34" s="17"/>
      <c r="J34" s="2"/>
    </row>
    <row r="35" spans="1:10" x14ac:dyDescent="0.2">
      <c r="A35" s="6">
        <v>42402</v>
      </c>
      <c r="B35" t="s">
        <v>224</v>
      </c>
      <c r="C35">
        <v>1100</v>
      </c>
      <c r="D35">
        <v>4000</v>
      </c>
      <c r="E35" s="16">
        <v>80</v>
      </c>
      <c r="I35" s="17"/>
      <c r="J35" s="2"/>
    </row>
    <row r="36" spans="1:10" x14ac:dyDescent="0.2">
      <c r="A36" s="6">
        <v>42373</v>
      </c>
      <c r="B36" t="s">
        <v>224</v>
      </c>
      <c r="C36">
        <v>1100</v>
      </c>
      <c r="D36">
        <v>4000</v>
      </c>
      <c r="E36" s="16">
        <v>245</v>
      </c>
      <c r="I36" s="17"/>
      <c r="J36" s="2"/>
    </row>
    <row r="37" spans="1:10" x14ac:dyDescent="0.2">
      <c r="A37" s="6">
        <v>42411</v>
      </c>
      <c r="B37" t="s">
        <v>224</v>
      </c>
      <c r="C37">
        <v>1100</v>
      </c>
      <c r="D37">
        <v>4000</v>
      </c>
      <c r="E37" s="16">
        <v>320</v>
      </c>
      <c r="I37" s="17"/>
      <c r="J37" s="2"/>
    </row>
    <row r="38" spans="1:10" x14ac:dyDescent="0.2">
      <c r="A38" s="6">
        <v>42416</v>
      </c>
      <c r="B38" t="s">
        <v>224</v>
      </c>
      <c r="C38">
        <v>1100</v>
      </c>
      <c r="D38">
        <v>4000</v>
      </c>
      <c r="E38" s="16">
        <v>110</v>
      </c>
      <c r="I38" s="17"/>
      <c r="J38" s="2"/>
    </row>
    <row r="39" spans="1:10" x14ac:dyDescent="0.2">
      <c r="A39" s="6">
        <v>42425</v>
      </c>
      <c r="B39" t="s">
        <v>223</v>
      </c>
      <c r="C39">
        <v>3800</v>
      </c>
      <c r="D39">
        <v>1200</v>
      </c>
      <c r="E39" s="16">
        <v>750</v>
      </c>
      <c r="I39" s="17"/>
      <c r="J39" s="2"/>
    </row>
    <row r="40" spans="1:10" x14ac:dyDescent="0.2">
      <c r="A40" s="6">
        <v>42427</v>
      </c>
      <c r="B40" t="s">
        <v>224</v>
      </c>
      <c r="C40">
        <v>1100</v>
      </c>
      <c r="D40">
        <v>4000</v>
      </c>
      <c r="E40" s="16">
        <v>1250</v>
      </c>
      <c r="I40" s="17"/>
      <c r="J40" s="2"/>
    </row>
    <row r="41" spans="1:10" x14ac:dyDescent="0.2">
      <c r="A41" s="6">
        <v>42428</v>
      </c>
      <c r="B41" t="s">
        <v>224</v>
      </c>
      <c r="C41">
        <v>1100</v>
      </c>
      <c r="D41">
        <v>4000</v>
      </c>
      <c r="E41" s="16">
        <v>189</v>
      </c>
      <c r="I41" s="17"/>
      <c r="J41" s="2"/>
    </row>
    <row r="42" spans="1:10" x14ac:dyDescent="0.2">
      <c r="I42" s="17"/>
      <c r="J42" s="2"/>
    </row>
    <row r="43" spans="1:10" x14ac:dyDescent="0.2">
      <c r="H43" s="16"/>
      <c r="I43" s="17"/>
      <c r="J43" s="2"/>
    </row>
    <row r="44" spans="1:10" x14ac:dyDescent="0.2">
      <c r="I44" s="17"/>
      <c r="J44" s="2"/>
    </row>
    <row r="45" spans="1:10" x14ac:dyDescent="0.2">
      <c r="I45" s="17"/>
      <c r="J45" s="2"/>
    </row>
    <row r="46" spans="1:10" x14ac:dyDescent="0.2">
      <c r="I46" s="17"/>
      <c r="J46" s="2"/>
    </row>
    <row r="57" spans="9:9" x14ac:dyDescent="0.2">
      <c r="I57" t="str">
        <f>[1]!relRange(I50:I55)</f>
        <v/>
      </c>
    </row>
  </sheetData>
  <pageMargins left="0.75" right="0.75" top="1" bottom="1" header="0.5" footer="0.5"/>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
  <dimension ref="A1:H40"/>
  <sheetViews>
    <sheetView showRuler="0" topLeftCell="A24" workbookViewId="0">
      <selection activeCell="B17" sqref="B17"/>
    </sheetView>
  </sheetViews>
  <sheetFormatPr baseColWidth="10" defaultRowHeight="16" x14ac:dyDescent="0.2"/>
  <cols>
    <col min="2" max="2" width="48.33203125" customWidth="1"/>
  </cols>
  <sheetData>
    <row r="1" spans="1:8" x14ac:dyDescent="0.2">
      <c r="A1" s="2" t="s">
        <v>289</v>
      </c>
    </row>
    <row r="3" spans="1:8" x14ac:dyDescent="0.2">
      <c r="D3" t="s">
        <v>107</v>
      </c>
      <c r="E3" t="s">
        <v>287</v>
      </c>
      <c r="F3" t="s">
        <v>288</v>
      </c>
      <c r="H3" t="s">
        <v>288</v>
      </c>
    </row>
    <row r="4" spans="1:8" x14ac:dyDescent="0.2">
      <c r="D4">
        <v>1133311</v>
      </c>
      <c r="E4">
        <v>1000</v>
      </c>
    </row>
    <row r="5" spans="1:8" x14ac:dyDescent="0.2">
      <c r="D5">
        <v>1212223</v>
      </c>
      <c r="E5">
        <v>1100</v>
      </c>
      <c r="F5">
        <v>1000</v>
      </c>
    </row>
    <row r="6" spans="1:8" x14ac:dyDescent="0.2">
      <c r="D6">
        <v>1311332</v>
      </c>
      <c r="E6">
        <v>1200</v>
      </c>
      <c r="F6">
        <v>1000</v>
      </c>
    </row>
    <row r="7" spans="1:8" x14ac:dyDescent="0.2">
      <c r="D7">
        <v>1201301</v>
      </c>
      <c r="E7">
        <v>1210</v>
      </c>
      <c r="F7">
        <v>1200</v>
      </c>
    </row>
    <row r="8" spans="1:8" x14ac:dyDescent="0.2">
      <c r="D8">
        <v>1390131</v>
      </c>
      <c r="E8">
        <v>1220</v>
      </c>
      <c r="F8">
        <v>1200</v>
      </c>
    </row>
    <row r="9" spans="1:8" x14ac:dyDescent="0.2">
      <c r="D9">
        <v>1901311</v>
      </c>
      <c r="E9">
        <v>1211</v>
      </c>
      <c r="F9">
        <v>1210</v>
      </c>
    </row>
    <row r="10" spans="1:8" x14ac:dyDescent="0.2">
      <c r="D10">
        <v>1031010</v>
      </c>
      <c r="E10">
        <v>1212</v>
      </c>
      <c r="F10">
        <v>1210</v>
      </c>
    </row>
    <row r="11" spans="1:8" x14ac:dyDescent="0.2">
      <c r="D11">
        <v>1391931</v>
      </c>
      <c r="E11">
        <v>1213</v>
      </c>
      <c r="F11">
        <v>1210</v>
      </c>
    </row>
    <row r="12" spans="1:8" x14ac:dyDescent="0.2">
      <c r="B12" s="2" t="str">
        <f ca="1">_xlfn.FORMULATEXT(B13)</f>
        <v>=relRange(D3:F11)</v>
      </c>
    </row>
    <row r="13" spans="1:8" x14ac:dyDescent="0.2">
      <c r="B13" t="str">
        <f>[1]!relRange(D3:F11)</f>
        <v>ssn::employee::manager _x000D_1133311::1000:: _x000D_1212223::1100::1000 _x000D_1311332::1200::1000 _x000D_1201301::1210::1200 _x000D_1390131::1220::1200 _x000D_1901311::1211::1210 _x000D_1031010::1212::1210 _x000D_1391931::1213::1210</v>
      </c>
      <c r="H13" t="str">
        <f>[1]!relRange(H3:H4)</f>
        <v>manager _x000D_</v>
      </c>
    </row>
    <row r="14" spans="1:8" x14ac:dyDescent="0.2">
      <c r="B14" s="2" t="str">
        <f ca="1">_xlfn.FORMULATEXT(B15)</f>
        <v>=relFixpoint(B13,C14,D14,E14)</v>
      </c>
      <c r="C14" t="s">
        <v>288</v>
      </c>
      <c r="E14" t="s">
        <v>287</v>
      </c>
    </row>
    <row r="15" spans="1:8" ht="111" customHeight="1" x14ac:dyDescent="0.2">
      <c r="B15" s="1" t="str">
        <f>[1]!relFixpoint(B13,C14,D14,E14)</f>
        <v>ssn::employee::manager</v>
      </c>
    </row>
    <row r="16" spans="1:8" x14ac:dyDescent="0.2">
      <c r="B16" s="2" t="str">
        <f ca="1">_xlfn.FORMULATEXT(B17)</f>
        <v>=relFixpoint(B13,C16,D16,E16)</v>
      </c>
      <c r="C16" t="s">
        <v>287</v>
      </c>
      <c r="D16">
        <v>1211</v>
      </c>
      <c r="E16" t="s">
        <v>288</v>
      </c>
    </row>
    <row r="17" spans="1:7" ht="99" customHeight="1" x14ac:dyDescent="0.2">
      <c r="B17" s="1" t="str">
        <f>[1]!relFixpoint(B13,C16,D16,E16)</f>
        <v>ssn::employee::manager</v>
      </c>
    </row>
    <row r="18" spans="1:7" x14ac:dyDescent="0.2">
      <c r="A18" t="s">
        <v>290</v>
      </c>
    </row>
    <row r="19" spans="1:7" x14ac:dyDescent="0.2">
      <c r="A19" t="s">
        <v>291</v>
      </c>
    </row>
    <row r="20" spans="1:7" x14ac:dyDescent="0.2">
      <c r="A20" t="s">
        <v>292</v>
      </c>
    </row>
    <row r="21" spans="1:7" x14ac:dyDescent="0.2">
      <c r="D21" t="s">
        <v>293</v>
      </c>
      <c r="E21" t="s">
        <v>294</v>
      </c>
      <c r="F21" t="s">
        <v>295</v>
      </c>
      <c r="G21" t="s">
        <v>296</v>
      </c>
    </row>
    <row r="22" spans="1:7" x14ac:dyDescent="0.2">
      <c r="D22" t="s">
        <v>297</v>
      </c>
      <c r="E22" t="s">
        <v>298</v>
      </c>
      <c r="F22" t="s">
        <v>299</v>
      </c>
      <c r="G22" t="s">
        <v>300</v>
      </c>
    </row>
    <row r="23" spans="1:7" x14ac:dyDescent="0.2">
      <c r="D23" t="s">
        <v>301</v>
      </c>
      <c r="E23" t="s">
        <v>64</v>
      </c>
      <c r="F23" t="s">
        <v>302</v>
      </c>
      <c r="G23" t="s">
        <v>303</v>
      </c>
    </row>
    <row r="24" spans="1:7" x14ac:dyDescent="0.2">
      <c r="D24" t="s">
        <v>120</v>
      </c>
      <c r="E24" t="s">
        <v>298</v>
      </c>
      <c r="F24" t="s">
        <v>302</v>
      </c>
      <c r="G24" t="s">
        <v>303</v>
      </c>
    </row>
    <row r="25" spans="1:7" x14ac:dyDescent="0.2">
      <c r="D25" t="s">
        <v>302</v>
      </c>
      <c r="E25" t="s">
        <v>64</v>
      </c>
      <c r="F25" t="s">
        <v>304</v>
      </c>
      <c r="G25" t="s">
        <v>305</v>
      </c>
    </row>
    <row r="26" spans="1:7" x14ac:dyDescent="0.2">
      <c r="D26" t="s">
        <v>300</v>
      </c>
      <c r="E26" t="s">
        <v>298</v>
      </c>
      <c r="F26" t="s">
        <v>306</v>
      </c>
      <c r="G26" t="s">
        <v>307</v>
      </c>
    </row>
    <row r="27" spans="1:7" x14ac:dyDescent="0.2">
      <c r="B27" s="2" t="str">
        <f ca="1">_xlfn.FORMULATEXT(B28)</f>
        <v>=relRange(D21:G26)</v>
      </c>
    </row>
    <row r="28" spans="1:7" ht="97.75" customHeight="1" x14ac:dyDescent="0.2">
      <c r="B28" s="1" t="str">
        <f>[1]!relRange(D21:G26)</f>
        <v>child::sex::mother::father _x000D_Bob::M::Alice::Curt _x000D_Diana::F::Elisabeth::Frank _x000D_George::M::Elisabeth::Frank _x000D_Elisabeth::F::Heather::Ian _x000D_Curt::M::Julie::Karl</v>
      </c>
    </row>
    <row r="29" spans="1:7" x14ac:dyDescent="0.2">
      <c r="B29" s="2" t="str">
        <f ca="1">_xlfn.FORMULATEXT(B30)</f>
        <v>=relFixpoint(B28,"child","Bob","father")</v>
      </c>
    </row>
    <row r="30" spans="1:7" ht="51.5" customHeight="1" x14ac:dyDescent="0.2">
      <c r="B30" s="1" t="str">
        <f>[1]!relFixpoint(B28,"child","Bob","father")</f>
        <v>child::sex::mother::father</v>
      </c>
    </row>
    <row r="31" spans="1:7" x14ac:dyDescent="0.2">
      <c r="D31" t="s">
        <v>310</v>
      </c>
      <c r="E31" t="s">
        <v>311</v>
      </c>
      <c r="F31" t="s">
        <v>308</v>
      </c>
      <c r="G31" t="s">
        <v>309</v>
      </c>
    </row>
    <row r="32" spans="1:7" x14ac:dyDescent="0.2">
      <c r="D32" t="s">
        <v>312</v>
      </c>
      <c r="E32" t="s">
        <v>313</v>
      </c>
      <c r="F32" t="s">
        <v>314</v>
      </c>
      <c r="G32" t="s">
        <v>315</v>
      </c>
    </row>
    <row r="33" spans="2:7" x14ac:dyDescent="0.2">
      <c r="D33" t="s">
        <v>312</v>
      </c>
      <c r="E33" t="s">
        <v>313</v>
      </c>
      <c r="F33" t="s">
        <v>316</v>
      </c>
      <c r="G33" t="s">
        <v>317</v>
      </c>
    </row>
    <row r="34" spans="2:7" x14ac:dyDescent="0.2">
      <c r="D34" t="s">
        <v>313</v>
      </c>
      <c r="E34" t="s">
        <v>318</v>
      </c>
      <c r="F34" t="s">
        <v>316</v>
      </c>
      <c r="G34" t="s">
        <v>319</v>
      </c>
    </row>
    <row r="35" spans="2:7" x14ac:dyDescent="0.2">
      <c r="D35" t="s">
        <v>313</v>
      </c>
      <c r="E35" t="s">
        <v>320</v>
      </c>
      <c r="F35" t="s">
        <v>321</v>
      </c>
      <c r="G35" t="s">
        <v>322</v>
      </c>
    </row>
    <row r="36" spans="2:7" x14ac:dyDescent="0.2">
      <c r="D36" t="s">
        <v>312</v>
      </c>
      <c r="E36" t="s">
        <v>320</v>
      </c>
      <c r="F36" t="s">
        <v>323</v>
      </c>
      <c r="G36" t="s">
        <v>324</v>
      </c>
    </row>
    <row r="37" spans="2:7" x14ac:dyDescent="0.2">
      <c r="B37" s="2" t="str">
        <f ca="1">_xlfn.FORMULATEXT(B38)</f>
        <v>=relRange(D31:G36)</v>
      </c>
    </row>
    <row r="38" spans="2:7" ht="68" x14ac:dyDescent="0.2">
      <c r="B38" s="1" t="str">
        <f>[1]!relRange(D31:G36)</f>
        <v>from::to::departure::destination _x000D_ZRH::GVA::07H00::07H30 _x000D_ZRH::GVA::08H00::08H30 _x000D_GVA::CPX::08H00::09H30 _x000D_GVA::NIC::09H00::11H00 _x000D_ZRH::NIC::10H00::11H30</v>
      </c>
    </row>
    <row r="40" spans="2:7" ht="17" x14ac:dyDescent="0.2">
      <c r="B40" s="13" t="str">
        <f>[1]!relFixpoint(B38,"from","ZRH","to")</f>
        <v>from::to::departure::destination</v>
      </c>
    </row>
  </sheetData>
  <pageMargins left="0.7" right="0.7" top="0.78740157499999996" bottom="0.78740157499999996"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97"/>
  <sheetViews>
    <sheetView tabSelected="1" showRuler="0" zoomScale="110" zoomScaleNormal="110" workbookViewId="0">
      <selection activeCell="B61" sqref="B61"/>
    </sheetView>
  </sheetViews>
  <sheetFormatPr baseColWidth="10" defaultRowHeight="16" x14ac:dyDescent="0.2"/>
  <cols>
    <col min="1" max="1" width="33.1640625" customWidth="1"/>
    <col min="2" max="2" width="56.5" customWidth="1"/>
    <col min="3" max="3" width="10.33203125" style="17" customWidth="1"/>
    <col min="4" max="4" width="51.1640625" customWidth="1"/>
  </cols>
  <sheetData>
    <row r="1" spans="1:11" x14ac:dyDescent="0.2">
      <c r="A1" s="2" t="s">
        <v>83</v>
      </c>
      <c r="E1" t="s">
        <v>325</v>
      </c>
      <c r="F1" t="s">
        <v>328</v>
      </c>
      <c r="G1" t="s">
        <v>7</v>
      </c>
      <c r="H1" t="s">
        <v>326</v>
      </c>
      <c r="I1" t="s">
        <v>327</v>
      </c>
      <c r="J1" t="s">
        <v>326</v>
      </c>
      <c r="K1" t="s">
        <v>327</v>
      </c>
    </row>
    <row r="2" spans="1:11" x14ac:dyDescent="0.2">
      <c r="E2">
        <v>1</v>
      </c>
      <c r="F2" t="s">
        <v>9</v>
      </c>
      <c r="G2">
        <v>240</v>
      </c>
      <c r="H2">
        <v>1</v>
      </c>
      <c r="I2" t="s">
        <v>2</v>
      </c>
      <c r="J2">
        <v>2</v>
      </c>
      <c r="K2" t="s">
        <v>3</v>
      </c>
    </row>
    <row r="3" spans="1:11" x14ac:dyDescent="0.2">
      <c r="E3">
        <v>2</v>
      </c>
      <c r="F3" t="s">
        <v>10</v>
      </c>
      <c r="G3">
        <v>120</v>
      </c>
      <c r="H3">
        <v>2</v>
      </c>
      <c r="I3" t="s">
        <v>3</v>
      </c>
      <c r="J3">
        <v>3</v>
      </c>
      <c r="K3" t="s">
        <v>4</v>
      </c>
    </row>
    <row r="4" spans="1:11" x14ac:dyDescent="0.2">
      <c r="E4">
        <v>3</v>
      </c>
      <c r="F4" t="s">
        <v>11</v>
      </c>
      <c r="G4">
        <v>150</v>
      </c>
      <c r="H4">
        <v>3</v>
      </c>
      <c r="I4" t="s">
        <v>4</v>
      </c>
      <c r="J4">
        <v>4</v>
      </c>
      <c r="K4" t="s">
        <v>21</v>
      </c>
    </row>
    <row r="5" spans="1:11" x14ac:dyDescent="0.2">
      <c r="E5">
        <v>4</v>
      </c>
      <c r="F5" t="s">
        <v>12</v>
      </c>
      <c r="G5">
        <v>5</v>
      </c>
      <c r="H5">
        <v>4</v>
      </c>
      <c r="I5" t="s">
        <v>21</v>
      </c>
      <c r="J5" t="s">
        <v>88</v>
      </c>
      <c r="K5" t="s">
        <v>5</v>
      </c>
    </row>
    <row r="6" spans="1:11" x14ac:dyDescent="0.2">
      <c r="E6">
        <v>5</v>
      </c>
      <c r="F6" t="s">
        <v>13</v>
      </c>
      <c r="G6">
        <v>240</v>
      </c>
      <c r="H6">
        <v>5</v>
      </c>
      <c r="I6" t="s">
        <v>5</v>
      </c>
      <c r="J6" t="s">
        <v>89</v>
      </c>
      <c r="K6" t="s">
        <v>6</v>
      </c>
    </row>
    <row r="7" spans="1:11" x14ac:dyDescent="0.2">
      <c r="E7">
        <v>6</v>
      </c>
      <c r="F7" t="s">
        <v>14</v>
      </c>
      <c r="G7">
        <v>180</v>
      </c>
      <c r="H7">
        <v>6</v>
      </c>
      <c r="I7" t="s">
        <v>6</v>
      </c>
    </row>
    <row r="8" spans="1:11" x14ac:dyDescent="0.2">
      <c r="E8">
        <v>7</v>
      </c>
      <c r="F8" t="s">
        <v>15</v>
      </c>
      <c r="G8">
        <v>90</v>
      </c>
    </row>
    <row r="9" spans="1:11" x14ac:dyDescent="0.2">
      <c r="E9">
        <v>8</v>
      </c>
      <c r="F9" t="s">
        <v>16</v>
      </c>
      <c r="G9">
        <v>270</v>
      </c>
    </row>
    <row r="10" spans="1:11" x14ac:dyDescent="0.2">
      <c r="E10">
        <v>9</v>
      </c>
      <c r="F10" t="s">
        <v>17</v>
      </c>
      <c r="G10">
        <v>66</v>
      </c>
    </row>
    <row r="11" spans="1:11" x14ac:dyDescent="0.2">
      <c r="E11">
        <v>10</v>
      </c>
      <c r="F11" t="s">
        <v>18</v>
      </c>
      <c r="G11">
        <v>180</v>
      </c>
    </row>
    <row r="12" spans="1:11" x14ac:dyDescent="0.2">
      <c r="A12" t="s">
        <v>84</v>
      </c>
      <c r="B12" t="s">
        <v>87</v>
      </c>
      <c r="C12" s="17" t="s">
        <v>86</v>
      </c>
      <c r="D12" t="s">
        <v>85</v>
      </c>
      <c r="E12" s="2" t="s">
        <v>98</v>
      </c>
    </row>
    <row r="13" spans="1:11" s="17" customFormat="1" ht="185" customHeight="1" x14ac:dyDescent="0.2">
      <c r="A13" s="17" t="str">
        <f ca="1">_xlfn.FORMULATEXT(B13)</f>
        <v>=relRange(E1:G11)</v>
      </c>
      <c r="B13" s="1" t="str">
        <f>[1]!relRange(E1:G11)</f>
        <v>pid::pname::price _x000D_1::Hard drive::240 _x000D_2::Memory::120 _x000D_3::ZIP drive::150 _x000D_4::Floppy disk::5 _x000D_5::Monitor::240 _x000D_6::DVD drive::180 _x000D_7::CD drive::90 _x000D_8::Printer::270 _x000D_9::Toner cartridge::66 _x000D_10::DVD burner::180</v>
      </c>
      <c r="C13" s="17" t="b">
        <f>(B13=D13)</f>
        <v>0</v>
      </c>
      <c r="D13" s="1" t="s">
        <v>350</v>
      </c>
    </row>
    <row r="14" spans="1:11" ht="119" x14ac:dyDescent="0.2">
      <c r="A14" s="17" t="str">
        <f t="shared" ref="A14:A77" ca="1" si="0">_xlfn.FORMULATEXT(B14)</f>
        <v>=relRange(H1:I7)</v>
      </c>
      <c r="B14" s="1" t="str">
        <f>[1]!relRange(H1:I7)</f>
        <v>eid::ename _x000D_1::Sony _x000D_2::Creative Labs _x000D_3::Hewlett Packard _x000D_4::Iomega _x000D_5::Fujitsu _x000D_6::Winchester</v>
      </c>
      <c r="C14" s="17" t="b">
        <f>(B14=D14)</f>
        <v>0</v>
      </c>
      <c r="D14" s="1" t="s">
        <v>351</v>
      </c>
    </row>
    <row r="15" spans="1:11" ht="102" x14ac:dyDescent="0.2">
      <c r="A15" s="17" t="str">
        <f t="shared" ca="1" si="0"/>
        <v>=relRange(J1:K6)</v>
      </c>
      <c r="B15" s="3" t="str">
        <f>[1]!relRange(J1:K6)</f>
        <v>eid::ename _x000D_2::Creative Labs _x000D_3::Hewlett Packard _x000D_4::Iomega _x000D_x::Fujitsu _x000D_y::Winchester</v>
      </c>
      <c r="C15" s="17" t="b">
        <f>(B15=D15)</f>
        <v>0</v>
      </c>
      <c r="D15" s="1" t="s">
        <v>352</v>
      </c>
    </row>
    <row r="16" spans="1:11" x14ac:dyDescent="0.2">
      <c r="A16" s="17" t="str">
        <f t="shared" ca="1" si="0"/>
        <v>=relRange("blabla")</v>
      </c>
      <c r="B16" s="10" t="e">
        <f>[1]!relRange("blabla")</f>
        <v>#VALUE!</v>
      </c>
      <c r="C16" s="17" t="e">
        <f t="shared" ref="C16:C47" si="1">(B16=D16)</f>
        <v>#VALUE!</v>
      </c>
      <c r="D16" t="e">
        <v>#VALUE!</v>
      </c>
      <c r="E16" s="2" t="s">
        <v>94</v>
      </c>
    </row>
    <row r="17" spans="1:5" x14ac:dyDescent="0.2">
      <c r="A17" s="17" t="str">
        <f t="shared" ca="1" si="0"/>
        <v>=relRange("1::Sony")</v>
      </c>
      <c r="B17" s="10" t="e">
        <f>[1]!relRange("1::Sony")</f>
        <v>#VALUE!</v>
      </c>
      <c r="C17" s="17" t="e">
        <f t="shared" si="1"/>
        <v>#VALUE!</v>
      </c>
      <c r="D17" t="e">
        <v>#VALUE!</v>
      </c>
      <c r="E17" s="2" t="s">
        <v>94</v>
      </c>
    </row>
    <row r="18" spans="1:5" s="17" customFormat="1" x14ac:dyDescent="0.2">
      <c r="A18" s="17" t="str">
        <f t="shared" ca="1" si="0"/>
        <v>=relRange("eid::ename 
2::Creative Labs 
3::Hewlett Packard 
4::Iomega 
x::Fujitsu 
y::Winchester")</v>
      </c>
      <c r="B18" s="24" t="e">
        <f>[1]!relRange("eid::ename 
2::Creative Labs 
3::Hewlett Packard 
4::Iomega 
x::Fujitsu 
y::Winchester")</f>
        <v>#VALUE!</v>
      </c>
      <c r="C18" s="17" t="e">
        <f t="shared" si="1"/>
        <v>#VALUE!</v>
      </c>
      <c r="D18" s="17" t="e">
        <v>#VALUE!</v>
      </c>
      <c r="E18" s="2" t="s">
        <v>94</v>
      </c>
    </row>
    <row r="19" spans="1:5" x14ac:dyDescent="0.2">
      <c r="A19" s="17" t="e">
        <f t="shared" ca="1" si="0"/>
        <v>#N/A</v>
      </c>
      <c r="B19" s="10"/>
    </row>
    <row r="20" spans="1:5" ht="68" x14ac:dyDescent="0.2">
      <c r="A20" s="17" t="str">
        <f t="shared" ca="1" si="0"/>
        <v>=relSelect($B$13,"%1&lt;4")</v>
      </c>
      <c r="B20" s="1" t="str">
        <f>[1]!relSelect($B$13,"%1&lt;4")</f>
        <v>pid::pname::price _x000D_1::Hard drive::240 _x000D_2::Memory::120 _x000D_3::ZIP drive::150</v>
      </c>
      <c r="C20" s="17" t="b">
        <f t="shared" si="1"/>
        <v>0</v>
      </c>
      <c r="D20" s="1" t="s">
        <v>353</v>
      </c>
    </row>
    <row r="21" spans="1:5" ht="68" x14ac:dyDescent="0.2">
      <c r="A21" s="17" t="str">
        <f t="shared" ca="1" si="0"/>
        <v>=relSelect($B$13,"%pid&lt;4")</v>
      </c>
      <c r="B21" s="1" t="str">
        <f>[1]!relSelect($B$13,"%pid&lt;4")</f>
        <v>pid::pname::price _x000D_1::Hard drive::240 _x000D_2::Memory::120 _x000D_3::ZIP drive::150</v>
      </c>
      <c r="C21" s="17" t="b">
        <f t="shared" ref="C21" si="2">(B21=D21)</f>
        <v>0</v>
      </c>
      <c r="D21" s="1" t="s">
        <v>353</v>
      </c>
    </row>
    <row r="22" spans="1:5" ht="17" x14ac:dyDescent="0.2">
      <c r="A22" s="17" t="str">
        <f t="shared" ca="1" si="0"/>
        <v>=relSelect($B$13,"$pid&lt;4")</v>
      </c>
      <c r="B22" s="1" t="str">
        <f>[1]!relSelect($B$13,"$pid&lt;4")</f>
        <v>pid::pname::price</v>
      </c>
      <c r="C22" s="17" t="b">
        <f t="shared" si="1"/>
        <v>1</v>
      </c>
      <c r="D22" s="1" t="s">
        <v>330</v>
      </c>
      <c r="E22" s="2" t="s">
        <v>331</v>
      </c>
    </row>
    <row r="23" spans="1:5" ht="51" x14ac:dyDescent="0.2">
      <c r="A23" s="17" t="str">
        <f t="shared" ca="1" si="0"/>
        <v>=relSelect($B$13,"LEFT($pname,1)=""M""")</v>
      </c>
      <c r="B23" s="1" t="str">
        <f>[1]!relSelect($B$13,"LEFT($pname,1)=""M""")</f>
        <v>pid::pname::price _x000D_2::Memory::120 _x000D_5::Monitor::240</v>
      </c>
      <c r="C23" s="17" t="b">
        <f t="shared" si="1"/>
        <v>0</v>
      </c>
      <c r="D23" s="1" t="s">
        <v>354</v>
      </c>
    </row>
    <row r="24" spans="1:5" ht="17" x14ac:dyDescent="0.2">
      <c r="A24" s="17" t="str">
        <f t="shared" ca="1" si="0"/>
        <v>=relSelect($B$13,"LEFT($pname,1)=""X""")</v>
      </c>
      <c r="B24" s="1" t="str">
        <f>[1]!relSelect($B$13,"LEFT($pname,1)=""X""")</f>
        <v>pid::pname::price</v>
      </c>
      <c r="C24" s="17" t="b">
        <f t="shared" si="1"/>
        <v>1</v>
      </c>
      <c r="D24" s="1" t="s">
        <v>330</v>
      </c>
      <c r="E24" s="2" t="s">
        <v>332</v>
      </c>
    </row>
    <row r="25" spans="1:5" ht="17" x14ac:dyDescent="0.2">
      <c r="A25" s="17" t="str">
        <f t="shared" ca="1" si="0"/>
        <v>=relSelect($B$13,"LEFT(%pname,1)=""M""")</v>
      </c>
      <c r="B25" s="1" t="str">
        <f>[1]!relSelect($B$13,"LEFT(%pname,1)=""M""")</f>
        <v>pid::pname::price</v>
      </c>
      <c r="C25" s="17" t="b">
        <f t="shared" si="1"/>
        <v>1</v>
      </c>
      <c r="D25" s="1" t="s">
        <v>330</v>
      </c>
      <c r="E25" s="2" t="s">
        <v>96</v>
      </c>
    </row>
    <row r="26" spans="1:5" x14ac:dyDescent="0.2">
      <c r="A26" s="17" t="str">
        <f t="shared" ca="1" si="0"/>
        <v>=relSelect($C$4,"LEFT($pname,1)=""X""")</v>
      </c>
      <c r="B26" t="str">
        <f>[1]!relSelect($C$4,"LEFT($pname,1)=""X""")</f>
        <v/>
      </c>
      <c r="C26" s="17" t="b">
        <f t="shared" si="1"/>
        <v>1</v>
      </c>
      <c r="E26" s="2" t="s">
        <v>95</v>
      </c>
    </row>
    <row r="27" spans="1:5" s="2" customFormat="1" x14ac:dyDescent="0.2">
      <c r="A27" s="17" t="str">
        <f t="shared" ca="1" si="0"/>
        <v>=relSelect($C$4:$C$5,"LEFT($pname,1)=""X""")</v>
      </c>
      <c r="B27" s="4" t="e">
        <f>[1]!relSelect($C$4:$C$5,"LEFT($pname,1)=""X""")</f>
        <v>#VALUE!</v>
      </c>
      <c r="C27" s="25" t="e">
        <f t="shared" si="1"/>
        <v>#VALUE!</v>
      </c>
      <c r="D27" s="4" t="e">
        <v>#VALUE!</v>
      </c>
      <c r="E27" s="2" t="s">
        <v>97</v>
      </c>
    </row>
    <row r="28" spans="1:5" x14ac:dyDescent="0.2">
      <c r="A28" s="17" t="str">
        <f t="shared" ca="1" si="0"/>
        <v>=relSelect("pid::pname
1::Sony","%1&lt;4")</v>
      </c>
      <c r="B28" t="str">
        <f>[1]!relSelect("pid::pname
1::Sony","%1&lt;4")</f>
        <v>pid::pname
1::Sony</v>
      </c>
      <c r="C28" s="17" t="b">
        <f t="shared" si="1"/>
        <v>1</v>
      </c>
      <c r="D28" t="s">
        <v>345</v>
      </c>
      <c r="E28" s="2"/>
    </row>
    <row r="29" spans="1:5" x14ac:dyDescent="0.2">
      <c r="A29" s="17" t="str">
        <f t="shared" ca="1" si="0"/>
        <v>=relSelect("pid::pname","%1&lt;4")</v>
      </c>
      <c r="B29" t="str">
        <f>[1]!relSelect("pid::pname","%1&lt;4")</f>
        <v>pid::pname</v>
      </c>
      <c r="C29" s="17" t="b">
        <f t="shared" ref="C29" si="3">(B29=D29)</f>
        <v>1</v>
      </c>
      <c r="D29" t="s">
        <v>334</v>
      </c>
      <c r="E29" s="2"/>
    </row>
    <row r="30" spans="1:5" x14ac:dyDescent="0.2">
      <c r="A30" s="17" t="str">
        <f t="shared" ca="1" si="0"/>
        <v>=relSelect("pid::pname 
1::Sony","%pid&lt;4")</v>
      </c>
      <c r="B30" t="str">
        <f>[1]!relSelect("pid::pname 
1::Sony","%pid&lt;4")</f>
        <v>pid::pname 
1::Sony</v>
      </c>
      <c r="C30" s="17" t="b">
        <v>1</v>
      </c>
      <c r="D30" t="s">
        <v>335</v>
      </c>
    </row>
    <row r="31" spans="1:5" ht="85" x14ac:dyDescent="0.2">
      <c r="A31" s="17" t="str">
        <f t="shared" ca="1" si="0"/>
        <v>=relSelect($B$15,"%1&lt;4")</v>
      </c>
      <c r="B31" s="1" t="str">
        <f>[1]!relSelect($B$15,"%1&lt;4")</f>
        <v>eid::ename _x000D_2::Creative Labs _x000D_3::Hewlett Packard _x000D_x::Fujitsu _x000D_y::Winchester</v>
      </c>
      <c r="C31" s="17" t="b">
        <f t="shared" si="1"/>
        <v>0</v>
      </c>
      <c r="D31" s="1" t="s">
        <v>355</v>
      </c>
    </row>
    <row r="32" spans="1:5" ht="51" x14ac:dyDescent="0.2">
      <c r="A32" s="17" t="str">
        <f t="shared" ca="1" si="0"/>
        <v>=relSelect($B$15,"%1&gt;2")</v>
      </c>
      <c r="B32" s="1" t="str">
        <f>[1]!relSelect($B$15,"%1&gt;2")</f>
        <v>eid::ename _x000D_3::Hewlett Packard _x000D_4::Iomega</v>
      </c>
      <c r="C32" s="17" t="b">
        <f t="shared" ref="C32" si="4">(B32=D32)</f>
        <v>0</v>
      </c>
      <c r="D32" s="1" t="s">
        <v>356</v>
      </c>
    </row>
    <row r="33" spans="1:5" x14ac:dyDescent="0.2">
      <c r="A33" s="17" t="str">
        <f t="shared" ca="1" si="0"/>
        <v>=relSelect($B$15,"VALUE($1)&lt;4")</v>
      </c>
      <c r="B33" t="str">
        <f>[1]!relSelect($B$15,"VALUE($1)&lt;4")</f>
        <v>#ERROR CONDITION LINE  5 : =(VALUE("x")&lt;4)</v>
      </c>
      <c r="C33" s="17" t="b">
        <f t="shared" si="1"/>
        <v>1</v>
      </c>
      <c r="D33" t="s">
        <v>336</v>
      </c>
    </row>
    <row r="34" spans="1:5" ht="34" x14ac:dyDescent="0.2">
      <c r="A34" s="17" t="str">
        <f t="shared" ca="1" si="0"/>
        <v>=relSelect($B$13,"TEXT(%1,""0"")=""5""")</v>
      </c>
      <c r="B34" s="1" t="str">
        <f>[1]!relSelect($B$13,"TEXT(%1,""0"")=""5""")</f>
        <v>pid::pname::price _x000D_5::Monitor::240</v>
      </c>
      <c r="C34" s="13" t="b">
        <f t="shared" si="1"/>
        <v>1</v>
      </c>
      <c r="D34" s="1" t="s">
        <v>349</v>
      </c>
    </row>
    <row r="35" spans="1:5" x14ac:dyDescent="0.2">
      <c r="A35" s="17"/>
    </row>
    <row r="36" spans="1:5" ht="187" x14ac:dyDescent="0.2">
      <c r="A36" s="17" t="str">
        <f t="shared" ca="1" si="0"/>
        <v>=relProject($B$13,"1::2")</v>
      </c>
      <c r="B36" s="1" t="str">
        <f>[1]!relProject($B$13,"1::2")</f>
        <v>pid::pname _x000D_1::Hard drive _x000D_2::Memory _x000D_3::ZIP drive _x000D_4::Floppy disk _x000D_5::Monitor _x000D_6::DVD drive _x000D_7::CD drive _x000D_8::Printer _x000D_9::Toner cartridge _x000D_10::DVD burner</v>
      </c>
      <c r="C36" s="17" t="b">
        <f t="shared" si="1"/>
        <v>0</v>
      </c>
      <c r="D36" s="1" t="s">
        <v>357</v>
      </c>
    </row>
    <row r="37" spans="1:5" ht="187" x14ac:dyDescent="0.2">
      <c r="A37" s="17" t="str">
        <f t="shared" ca="1" si="0"/>
        <v>=relProject($B$13,"1::2")</v>
      </c>
      <c r="B37" s="1" t="str">
        <f>[1]!relProject($B$13,"1::2")</f>
        <v>pid::pname _x000D_1::Hard drive _x000D_2::Memory _x000D_3::ZIP drive _x000D_4::Floppy disk _x000D_5::Monitor _x000D_6::DVD drive _x000D_7::CD drive _x000D_8::Printer _x000D_9::Toner cartridge _x000D_10::DVD burner</v>
      </c>
      <c r="C37" s="17" t="b">
        <f t="shared" ref="C37" si="5">(B37=D37)</f>
        <v>0</v>
      </c>
      <c r="D37" s="1" t="s">
        <v>357</v>
      </c>
    </row>
    <row r="38" spans="1:5" ht="17" x14ac:dyDescent="0.2">
      <c r="A38" s="17" t="str">
        <f t="shared" ca="1" si="0"/>
        <v>=relProject($B$13,"0::2")</v>
      </c>
      <c r="B38" s="1" t="str">
        <f>[1]!relProject($B$13,"0::2")</f>
        <v>#ERROR COLUMN: 0</v>
      </c>
      <c r="C38" s="17" t="b">
        <f t="shared" si="1"/>
        <v>1</v>
      </c>
      <c r="D38" s="1" t="s">
        <v>371</v>
      </c>
    </row>
    <row r="39" spans="1:5" ht="187" x14ac:dyDescent="0.2">
      <c r="A39" s="17" t="str">
        <f t="shared" ca="1" si="0"/>
        <v>=relProject($B$13,"price::pname")</v>
      </c>
      <c r="B39" s="1" t="str">
        <f>[1]!relProject($B$13,"price::pname")</f>
        <v>price::pname _x000D_240::Hard drive _x000D_120::Memory _x000D_150::ZIP drive _x000D_5::Floppy disk _x000D_240::Monitor _x000D_180::DVD drive _x000D_90::CD drive _x000D_270::Printer _x000D_66::Toner cartridge _x000D_180::DVD burner</v>
      </c>
      <c r="C39" s="17" t="b">
        <f t="shared" si="1"/>
        <v>0</v>
      </c>
      <c r="D39" s="1" t="s">
        <v>358</v>
      </c>
    </row>
    <row r="40" spans="1:5" ht="34" x14ac:dyDescent="0.2">
      <c r="A40" s="17" t="str">
        <f t="shared" ca="1" si="0"/>
        <v>=relProject($B$13,"price SUM")</v>
      </c>
      <c r="B40" s="1" t="str">
        <f>[1]!relProject($B$13,"price SUM")</f>
        <v>price_sum _x000D_1541</v>
      </c>
      <c r="C40" s="17" t="b">
        <f t="shared" si="1"/>
        <v>0</v>
      </c>
      <c r="D40" s="1" t="s">
        <v>359</v>
      </c>
    </row>
    <row r="41" spans="1:5" ht="17" x14ac:dyDescent="0.2">
      <c r="A41" s="17" t="str">
        <f t="shared" ca="1" si="0"/>
        <v>=relProject($B$13,"")</v>
      </c>
      <c r="B41" t="str">
        <f>[1]!relProject($B$13,"")</f>
        <v/>
      </c>
      <c r="C41" s="17" t="b">
        <f t="shared" si="1"/>
        <v>1</v>
      </c>
      <c r="D41" s="1" t="s">
        <v>93</v>
      </c>
      <c r="E41" s="2" t="s">
        <v>99</v>
      </c>
    </row>
    <row r="42" spans="1:5" ht="17" x14ac:dyDescent="0.2">
      <c r="A42" s="17" t="str">
        <f t="shared" ca="1" si="0"/>
        <v>=relProject($B$13," ")</v>
      </c>
      <c r="B42" t="str">
        <f>[1]!relProject($B$13," ")</f>
        <v>#ERROR LIST EMPTY</v>
      </c>
      <c r="C42" s="17" t="b">
        <f t="shared" si="1"/>
        <v>1</v>
      </c>
      <c r="D42" s="1" t="s">
        <v>91</v>
      </c>
      <c r="E42" s="2" t="s">
        <v>100</v>
      </c>
    </row>
    <row r="43" spans="1:5" ht="17" x14ac:dyDescent="0.2">
      <c r="A43" s="17" t="str">
        <f t="shared" ca="1" si="0"/>
        <v>=relProject($B$13,"blabla")</v>
      </c>
      <c r="B43" t="str">
        <f>[1]!relProject($B$13,"blabla")</f>
        <v>#ERROR COLUMN: blabla</v>
      </c>
      <c r="C43" s="17" t="b">
        <f t="shared" si="1"/>
        <v>1</v>
      </c>
      <c r="D43" s="1" t="s">
        <v>90</v>
      </c>
      <c r="E43" s="2"/>
    </row>
    <row r="44" spans="1:5" ht="17" x14ac:dyDescent="0.2">
      <c r="A44" s="17" t="str">
        <f t="shared" ca="1" si="0"/>
        <v>=relProject($C$4,"1")</v>
      </c>
      <c r="B44" t="str">
        <f>[1]!relProject($C$4,"1")</f>
        <v/>
      </c>
      <c r="C44" s="17" t="b">
        <f t="shared" si="1"/>
        <v>1</v>
      </c>
      <c r="D44" s="1" t="s">
        <v>93</v>
      </c>
      <c r="E44" s="2" t="s">
        <v>95</v>
      </c>
    </row>
    <row r="45" spans="1:5" ht="34" x14ac:dyDescent="0.2">
      <c r="A45" s="17" t="str">
        <f t="shared" ca="1" si="0"/>
        <v>=relProject($C$4,"1 COUNT")</v>
      </c>
      <c r="B45" s="1" t="str">
        <f>[1]!relProject($C$4,"1 COUNT")</f>
        <v>1_count _x000D_0</v>
      </c>
      <c r="C45" s="17" t="b">
        <f t="shared" si="1"/>
        <v>0</v>
      </c>
      <c r="D45" s="1" t="s">
        <v>360</v>
      </c>
      <c r="E45" s="2" t="s">
        <v>251</v>
      </c>
    </row>
    <row r="46" spans="1:5" ht="17" x14ac:dyDescent="0.2">
      <c r="A46" s="17" t="str">
        <f t="shared" ca="1" si="0"/>
        <v>=relProject($C$4,"")</v>
      </c>
      <c r="B46" t="str">
        <f>[1]!relProject($C$4,"")</f>
        <v/>
      </c>
      <c r="C46" s="17" t="b">
        <f t="shared" si="1"/>
        <v>1</v>
      </c>
      <c r="D46" s="1" t="s">
        <v>93</v>
      </c>
      <c r="E46" s="2" t="s">
        <v>95</v>
      </c>
    </row>
    <row r="47" spans="1:5" ht="17" x14ac:dyDescent="0.2">
      <c r="A47" s="17" t="str">
        <f t="shared" ca="1" si="0"/>
        <v>=relProject("1::Sony","2")</v>
      </c>
      <c r="B47" t="str">
        <f>[1]!relProject("1::Sony","2")</f>
        <v>#ERROR NUMERIC HEADER</v>
      </c>
      <c r="C47" s="17" t="b">
        <f t="shared" si="1"/>
        <v>1</v>
      </c>
      <c r="D47" s="1" t="s">
        <v>333</v>
      </c>
    </row>
    <row r="48" spans="1:5" ht="17" x14ac:dyDescent="0.2">
      <c r="A48" s="17" t="str">
        <f t="shared" ca="1" si="0"/>
        <v>=relProject("pid::pname","2")</v>
      </c>
      <c r="B48" t="str">
        <f>[1]!relProject("pid::pname","2")</f>
        <v>pname</v>
      </c>
      <c r="C48" s="17" t="b">
        <f t="shared" ref="C48" si="6">(B48=D48)</f>
        <v>1</v>
      </c>
      <c r="D48" s="1" t="s">
        <v>328</v>
      </c>
    </row>
    <row r="49" spans="1:4" x14ac:dyDescent="0.2">
      <c r="A49" s="17"/>
    </row>
    <row r="50" spans="1:4" ht="187" x14ac:dyDescent="0.2">
      <c r="A50" s="17" t="str">
        <f t="shared" ca="1" si="0"/>
        <v>=relExtend($B$13,"%pid*2","pid2")</v>
      </c>
      <c r="B50" s="1"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0" s="17" t="b">
        <f t="shared" ref="C50:C97" si="7">(B50=D50)</f>
        <v>0</v>
      </c>
      <c r="D50" s="1" t="s">
        <v>361</v>
      </c>
    </row>
    <row r="51" spans="1:4" ht="187" x14ac:dyDescent="0.2">
      <c r="A51" s="17" t="str">
        <f t="shared" ca="1" si="0"/>
        <v>=relExtend($B$13,"$pid*2","pid2")</v>
      </c>
      <c r="B51" s="1" t="str">
        <f>[1]!relExtend($B$13,"$pid*2","pid2")</f>
        <v>pid::pname::price::pid2 _x000D_1::Hard drive::240::2 _x000D_2::Memory::120::4 _x000D_3::ZIP drive::150::6 _x000D_4::Floppy disk::5::8 _x000D_5::Monitor::240::10 _x000D_6::DVD drive::180::12 _x000D_7::CD drive::90::14 _x000D_8::Printer::270::16 _x000D_9::Toner cartridge::66::18 _x000D_10::DVD burner::180::20</v>
      </c>
      <c r="C51" s="17" t="b">
        <f t="shared" si="7"/>
        <v>0</v>
      </c>
      <c r="D51" s="1" t="s">
        <v>361</v>
      </c>
    </row>
    <row r="52" spans="1:4" ht="17" x14ac:dyDescent="0.2">
      <c r="A52" s="17" t="str">
        <f t="shared" ca="1" si="0"/>
        <v>=relExtend($B$13,"$2blabla""")</v>
      </c>
      <c r="B52" s="1" t="str">
        <f>[1]!relExtend($B$13,"$2blabla""")</f>
        <v>#ERROR CALCULATION LINE  2 : =("Hard drive"blabla")</v>
      </c>
      <c r="C52" s="17" t="b">
        <f t="shared" si="7"/>
        <v>1</v>
      </c>
      <c r="D52" s="1" t="s">
        <v>337</v>
      </c>
    </row>
    <row r="53" spans="1:4" ht="17" x14ac:dyDescent="0.2">
      <c r="A53" s="17" t="str">
        <f t="shared" ca="1" si="0"/>
        <v>=relExtend($B$13,"%1/0")</v>
      </c>
      <c r="B53" s="1" t="str">
        <f>[1]!relExtend($B$13,"%1/0")</f>
        <v>#ERROR CALCULATION LINE  2 : =(1/0)</v>
      </c>
      <c r="C53" s="17" t="b">
        <f t="shared" si="7"/>
        <v>1</v>
      </c>
      <c r="D53" s="1" t="s">
        <v>338</v>
      </c>
    </row>
    <row r="54" spans="1:4" ht="17" x14ac:dyDescent="0.2">
      <c r="A54" s="17" t="str">
        <f t="shared" ca="1" si="0"/>
        <v>=relExtend("1::Sony","%1*5")</v>
      </c>
      <c r="B54" s="1" t="str">
        <f>[1]!relExtend("1::Sony","%1*5")</f>
        <v>#ERROR NUMERIC HEADER</v>
      </c>
      <c r="C54" s="17" t="b">
        <f t="shared" si="7"/>
        <v>1</v>
      </c>
      <c r="D54" s="1" t="s">
        <v>333</v>
      </c>
    </row>
    <row r="55" spans="1:4" ht="17" x14ac:dyDescent="0.2">
      <c r="A55" s="17" t="str">
        <f t="shared" ca="1" si="0"/>
        <v>=relExtend("id::blabla","%1*5")</v>
      </c>
      <c r="B55" s="1" t="str">
        <f>[1]!relExtend("id::blabla","%1*5")</f>
        <v>id::blabla::c2</v>
      </c>
      <c r="C55" s="17" t="b">
        <f t="shared" ref="C55" si="8">(B55=D55)</f>
        <v>1</v>
      </c>
      <c r="D55" s="1" t="s">
        <v>339</v>
      </c>
    </row>
    <row r="56" spans="1:4" ht="187" x14ac:dyDescent="0.2">
      <c r="A56" s="17" t="str">
        <f t="shared" ca="1" si="0"/>
        <v>=relExtend($B$13,"%1*0.22")</v>
      </c>
      <c r="B56" s="1" t="str">
        <f>[1]!relExtend($B$13,"%1*0.22")</f>
        <v>pid::pname::price::c3 _x000D_1::Hard drive::240::.22 _x000D_2::Memory::120::.44 _x000D_3::ZIP drive::150::.66 _x000D_4::Floppy disk::5::.88 _x000D_5::Monitor::240::1.1 _x000D_6::DVD drive::180::1.32 _x000D_7::CD drive::90::1.54 _x000D_8::Printer::270::1.76 _x000D_9::Toner cartridge::66::1.98 _x000D_10::DVD burner::180::2.2</v>
      </c>
      <c r="C56" s="17" t="b">
        <f>(B56=D56)</f>
        <v>0</v>
      </c>
      <c r="D56" s="1" t="s">
        <v>362</v>
      </c>
    </row>
    <row r="57" spans="1:4" ht="17" x14ac:dyDescent="0.2">
      <c r="A57" s="17" t="str">
        <f t="shared" ca="1" si="0"/>
        <v>=relExtend("","%1*5")</v>
      </c>
      <c r="B57" t="str">
        <f>[1]!relExtend("","%1*5")</f>
        <v/>
      </c>
      <c r="C57" s="17" t="b">
        <f t="shared" si="7"/>
        <v>1</v>
      </c>
      <c r="D57" s="1" t="s">
        <v>93</v>
      </c>
    </row>
    <row r="58" spans="1:4" x14ac:dyDescent="0.2">
      <c r="A58" s="17"/>
    </row>
    <row r="59" spans="1:4" ht="153" x14ac:dyDescent="0.2">
      <c r="A59" s="17" t="str">
        <f t="shared" ca="1" si="0"/>
        <v>=relUnion($B$14,$B$15)</v>
      </c>
      <c r="B59" s="1" t="str">
        <f>[1]!relUnion($B$14,$B$15)</f>
        <v>eid::ename _x000D_1::Sony _x000D_2::Creative Labs _x000D_3::Hewlett Packard _x000D_4::Iomega _x000D_5::Fujitsu _x000D_6::Winchester _x000D_x::Fujitsu _x000D_y::Winchester</v>
      </c>
      <c r="C59" s="13" t="b">
        <f t="shared" si="7"/>
        <v>0</v>
      </c>
      <c r="D59" s="1" t="s">
        <v>372</v>
      </c>
    </row>
    <row r="60" spans="1:4" x14ac:dyDescent="0.2">
      <c r="A60" s="17" t="str">
        <f t="shared" ca="1" si="0"/>
        <v>=relUnion($B$13,$B$14)</v>
      </c>
      <c r="B60" t="str">
        <f>[1]!relUnion($B$13,$B$14)</f>
        <v>#ERROR ARITY :  3 &lt;&gt; 2</v>
      </c>
      <c r="C60" s="17" t="b">
        <f t="shared" si="7"/>
        <v>1</v>
      </c>
      <c r="D60" t="s">
        <v>92</v>
      </c>
    </row>
    <row r="61" spans="1:4" ht="187" x14ac:dyDescent="0.2">
      <c r="A61" s="17" t="str">
        <f t="shared" ca="1" si="0"/>
        <v>=relUnion($B$13,"")</v>
      </c>
      <c r="B61" s="1" t="str">
        <f>[1]!relUnion($B$13,"")</f>
        <v>pid::pname::price _x000D_1::Hard drive::240 _x000D_2::Memory::120 _x000D_3::ZIP drive::150 _x000D_4::Floppy disk::5 _x000D_5::Monitor::240 _x000D_6::DVD drive::180 _x000D_7::CD drive::90 _x000D_8::Printer::270 _x000D_9::Toner cartridge::66 _x000D_10::DVD burner::180</v>
      </c>
      <c r="C61" s="13" t="b">
        <f t="shared" si="7"/>
        <v>0</v>
      </c>
      <c r="D61" s="1" t="s">
        <v>350</v>
      </c>
    </row>
    <row r="62" spans="1:4" ht="119" x14ac:dyDescent="0.2">
      <c r="A62" s="17" t="str">
        <f t="shared" ca="1" si="0"/>
        <v>=relUnion($B$14,$C$2)</v>
      </c>
      <c r="B62" s="1" t="str">
        <f>[1]!relUnion($B$14,$C$2)</f>
        <v>eid::ename _x000D_1::Sony _x000D_2::Creative Labs _x000D_3::Hewlett Packard _x000D_4::Iomega _x000D_5::Fujitsu _x000D_6::Winchester</v>
      </c>
      <c r="C62" s="13" t="b">
        <f t="shared" si="7"/>
        <v>0</v>
      </c>
      <c r="D62" s="1" t="s">
        <v>351</v>
      </c>
    </row>
    <row r="63" spans="1:4" ht="187" x14ac:dyDescent="0.2">
      <c r="A63" s="17" t="str">
        <f t="shared" ca="1" si="0"/>
        <v>=relUnion("",$B$13)</v>
      </c>
      <c r="B63" s="1" t="str">
        <f>[1]!relUnion("",$B$13)</f>
        <v>pid::pname::price _x000D_1::Hard drive::240 _x000D_2::Memory::120 _x000D_3::ZIP drive::150 _x000D_4::Floppy disk::5 _x000D_5::Monitor::240 _x000D_6::DVD drive::180 _x000D_7::CD drive::90 _x000D_8::Printer::270 _x000D_9::Toner cartridge::66 _x000D_10::DVD burner::180</v>
      </c>
      <c r="C63" s="13" t="b">
        <f t="shared" si="7"/>
        <v>0</v>
      </c>
      <c r="D63" s="1" t="s">
        <v>350</v>
      </c>
    </row>
    <row r="64" spans="1:4" x14ac:dyDescent="0.2">
      <c r="A64" s="17" t="str">
        <f t="shared" ca="1" si="0"/>
        <v>=relUnion("blabla","foo")</v>
      </c>
      <c r="B64" t="str">
        <f>[1]!relUnion("blabla","foo")</f>
        <v>#ERROR FIELD NOT MATCH foo</v>
      </c>
      <c r="C64" s="17" t="b">
        <f t="shared" si="7"/>
        <v>1</v>
      </c>
      <c r="D64" t="s">
        <v>340</v>
      </c>
    </row>
    <row r="65" spans="1:9" x14ac:dyDescent="0.2">
      <c r="A65" s="17" t="str">
        <f t="shared" ca="1" si="0"/>
        <v>=relUnion("foo","foo")</v>
      </c>
      <c r="B65" t="str">
        <f>[1]!relUnion("foo","foo")</f>
        <v>foo</v>
      </c>
      <c r="C65" s="17" t="b">
        <f t="shared" ref="C65" si="9">(B65=D65)</f>
        <v>1</v>
      </c>
      <c r="D65" t="s">
        <v>341</v>
      </c>
    </row>
    <row r="66" spans="1:9" x14ac:dyDescent="0.2">
      <c r="A66" s="17"/>
    </row>
    <row r="67" spans="1:9" ht="68" x14ac:dyDescent="0.2">
      <c r="A67" s="17" t="str">
        <f t="shared" ca="1" si="0"/>
        <v>=reldifference($B$14,$B$15)</v>
      </c>
      <c r="B67" s="1" t="str">
        <f>[1]!reldifference($B$14,$B$15)</f>
        <v>eid::ename _x000D_1::Sony _x000D_5::Fujitsu _x000D_6::Winchester</v>
      </c>
      <c r="C67" s="13" t="b">
        <f t="shared" si="7"/>
        <v>0</v>
      </c>
      <c r="D67" s="1" t="s">
        <v>363</v>
      </c>
    </row>
    <row r="68" spans="1:9" x14ac:dyDescent="0.2">
      <c r="A68" s="17" t="str">
        <f t="shared" ca="1" si="0"/>
        <v>=reldifference($B$14,"10::Panasonic")</v>
      </c>
      <c r="B68" t="str">
        <f>[1]!reldifference($B$14,"10::Panasonic")</f>
        <v>#ERROR FIELD NOT MATCH Panasonic</v>
      </c>
      <c r="C68" s="17" t="b">
        <f t="shared" si="7"/>
        <v>1</v>
      </c>
      <c r="D68" t="s">
        <v>342</v>
      </c>
    </row>
    <row r="69" spans="1:9" x14ac:dyDescent="0.2">
      <c r="A69" s="17" t="str">
        <f t="shared" ca="1" si="0"/>
        <v>=reldifference($B$13,$B$14)</v>
      </c>
      <c r="B69" t="str">
        <f>[1]!reldifference($B$13,$B$14)</f>
        <v>#ERROR ARITY :  3 &lt;&gt; 2</v>
      </c>
      <c r="C69" s="17" t="b">
        <f t="shared" si="7"/>
        <v>1</v>
      </c>
      <c r="D69" t="s">
        <v>92</v>
      </c>
    </row>
    <row r="70" spans="1:9" ht="187" x14ac:dyDescent="0.2">
      <c r="A70" s="17" t="str">
        <f t="shared" ca="1" si="0"/>
        <v>=reldifference($B$13,"")</v>
      </c>
      <c r="B70" s="1" t="str">
        <f>[1]!reldifference($B$13,"")</f>
        <v>pid::pname::price _x000D_1::Hard drive::240 _x000D_2::Memory::120 _x000D_3::ZIP drive::150 _x000D_4::Floppy disk::5 _x000D_5::Monitor::240 _x000D_6::DVD drive::180 _x000D_7::CD drive::90 _x000D_8::Printer::270 _x000D_9::Toner cartridge::66 _x000D_10::DVD burner::180</v>
      </c>
      <c r="C70" s="13" t="b">
        <f t="shared" si="7"/>
        <v>0</v>
      </c>
      <c r="D70" s="1" t="s">
        <v>350</v>
      </c>
    </row>
    <row r="71" spans="1:9" ht="187" x14ac:dyDescent="0.2">
      <c r="A71" s="17" t="str">
        <f t="shared" ca="1" si="0"/>
        <v>=reldifference($B$13,$C$2)</v>
      </c>
      <c r="B71" s="1" t="str">
        <f>[1]!reldifference($B$13,$C$2)</f>
        <v>pid::pname::price _x000D_1::Hard drive::240 _x000D_2::Memory::120 _x000D_3::ZIP drive::150 _x000D_4::Floppy disk::5 _x000D_5::Monitor::240 _x000D_6::DVD drive::180 _x000D_7::CD drive::90 _x000D_8::Printer::270 _x000D_9::Toner cartridge::66 _x000D_10::DVD burner::180</v>
      </c>
      <c r="C71" s="13" t="b">
        <f t="shared" si="7"/>
        <v>0</v>
      </c>
      <c r="D71" s="1" t="s">
        <v>350</v>
      </c>
    </row>
    <row r="72" spans="1:9" x14ac:dyDescent="0.2">
      <c r="A72" s="17" t="str">
        <f t="shared" ca="1" si="0"/>
        <v>=reldifference("",$B$13)</v>
      </c>
      <c r="B72" t="str">
        <f>[1]!reldifference("",$B$13)</f>
        <v/>
      </c>
      <c r="C72" s="17" t="b">
        <f t="shared" si="7"/>
        <v>1</v>
      </c>
      <c r="D72" t="s">
        <v>93</v>
      </c>
      <c r="E72" s="2" t="s">
        <v>95</v>
      </c>
    </row>
    <row r="73" spans="1:9" x14ac:dyDescent="0.2">
      <c r="A73" s="17" t="str">
        <f t="shared" ca="1" si="0"/>
        <v>=reldifference("blabla","foo")</v>
      </c>
      <c r="B73" t="str">
        <f>[1]!reldifference("blabla","foo")</f>
        <v>#ERROR FIELD NOT MATCH foo</v>
      </c>
      <c r="C73" s="17" t="b">
        <f t="shared" si="7"/>
        <v>1</v>
      </c>
      <c r="D73" t="s">
        <v>340</v>
      </c>
    </row>
    <row r="74" spans="1:9" x14ac:dyDescent="0.2">
      <c r="A74" s="17" t="str">
        <f t="shared" ca="1" si="0"/>
        <v>=reldifference("foo","foo")</v>
      </c>
      <c r="B74" t="str">
        <f>[1]!reldifference("foo","foo")</f>
        <v>foo</v>
      </c>
      <c r="C74" s="17" t="b">
        <f t="shared" si="7"/>
        <v>1</v>
      </c>
      <c r="D74" t="s">
        <v>341</v>
      </c>
    </row>
    <row r="75" spans="1:9" x14ac:dyDescent="0.2">
      <c r="A75" s="17"/>
    </row>
    <row r="76" spans="1:9" ht="409.6" x14ac:dyDescent="0.2">
      <c r="A76" s="17" t="str">
        <f t="shared" ca="1" si="0"/>
        <v>=relJoin($B$13,$B$14,"true")</v>
      </c>
      <c r="B76" s="7" t="str">
        <f>[1]!relJoin($B$13,$B$14,"true")</f>
        <v>pid::pname::price::eid::ename _x000D_1::Hard drive::240::1::Sony _x000D_1::Hard drive::240::2::Creative Labs _x000D_1::Hard drive::240::3::Hewlett Packard _x000D_1::Hard drive::240::4::Iomega _x000D_1::Hard drive::240::5::Fujitsu _x000D_1::Hard drive::240::6::Winchester _x000D_2::Memory::120::1::Sony _x000D_2::Memory::120::2::Creative Labs _x000D_2::Memory::120::3::Hewlett Packard _x000D_2::Memory::120::4::Iomega _x000D_2::Memory::120::5::Fujitsu _x000D_2::Memory::120::6::Winchester _x000D_3::ZIP drive::150::1::Sony _x000D_3::ZIP drive::150::2::Creative Labs _x000D_3::ZIP drive::150::3::Hewlett Packard _x000D_3::ZIP drive::150::4::Iomega _x000D_3::ZIP drive::150::5::Fujitsu _x000D_3::ZIP drive::150::6::Winchester _x000D_4::Floppy disk::5::1::Sony _x000D_4::Floppy disk::5::2::Creative Labs _x000D_4::Floppy disk::5::3::Hewlett Packard _x000D_4::Floppy disk::5::4::Iomega _x000D_4::Floppy disk::5::5::Fujitsu _x000D_4::Floppy disk::5::6::Winchester _x000D_5::Monitor::240::1::Sony _x000D_5::Monitor::240::2::Creative Labs _x000D_5::Monitor::240::3::Hewlett Packard _x000D_5::Monitor::240::4::Iomega _x000D_5::Monitor::240::5::Fujitsu _x000D_5::Monitor::240::6::Winchester _x000D_6::DVD drive::180::1::Sony _x000D_6::DVD drive::180::2::Creative Labs _x000D_6::DVD drive::180::3::Hewlett Packard _x000D_6::DVD drive::180::4::Iomega _x000D_6::DVD drive::180::5::Fujitsu _x000D_6::DVD drive::180::6::Winchester _x000D_7::CD drive::90::1::Sony _x000D_7::CD drive::90::2::Creative Labs _x000D_7::CD drive::90::3::Hewlett Packard _x000D_7::CD drive::90::4::Iomega _x000D_7::CD drive::90::5::Fujitsu _x000D_7::CD drive::90::6::Winchester _x000D_8::Printer::270::1::Sony _x000D_8::Printer::270::2::Creative Labs _x000D_8::Printer::270::3::Hewlett Packard _x000D_8::Printer::270::4::Iomega _x000D_8::Printer::270::5::Fujitsu _x000D_8::Printer::270::6::Winchester _x000D_9::Toner cartridge::66::1::Sony _x000D_9::Toner cartridge::66::2::Creative Labs _x000D_9::Toner cartridge::66::3::Hewlett Packard _x000D_9::Toner cartridge::66::4::Iomega _x000D_9::Toner cartridge::66::5::Fujitsu _x000D_9::Toner cartridge::66::6::Winchester _x000D_10::DVD burner::180::1::Sony _x000D_10::DVD burner::180::2::Creative Labs _x000D_10::DVD burner::180::3::Hewlett Packard _x000D_10::DVD burner::180::4::Iomega _x000D_10::DVD burner::180::5::Fujitsu _x000D_10::DVD burner::180::6::Winchester</v>
      </c>
      <c r="C76" s="17" t="b">
        <f t="shared" si="7"/>
        <v>0</v>
      </c>
      <c r="D76" s="1" t="s">
        <v>364</v>
      </c>
    </row>
    <row r="77" spans="1:9" ht="356" x14ac:dyDescent="0.2">
      <c r="A77" s="17" t="str">
        <f t="shared" ca="1" si="0"/>
        <v>=relJoin($B$13,$B$13,"true")</v>
      </c>
      <c r="B77" s="7" t="str">
        <f>[1]!relJoin($B$13,$B$13,"true")</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77" s="17" t="b">
        <f t="shared" si="7"/>
        <v>0</v>
      </c>
      <c r="D77" s="1" t="s">
        <v>368</v>
      </c>
    </row>
    <row r="78" spans="1:9" ht="119" x14ac:dyDescent="0.2">
      <c r="A78" s="17" t="str">
        <f t="shared" ref="A78:A97" ca="1" si="10">_xlfn.FORMULATEXT(B78)</f>
        <v>=relJoin($B$13,$B$14,"$1=$4")</v>
      </c>
      <c r="B78" s="7" t="str">
        <f>[1]!relJoin($B$13,$B$14,"$1=$4")</f>
        <v>pid::pname::price::eid::ename _x000D_1::Hard drive::240::1::Sony _x000D_2::Memory::120::2::Creative Labs _x000D_3::ZIP drive::150::3::Hewlett Packard _x000D_4::Floppy disk::5::4::Iomega _x000D_5::Monitor::240::5::Fujitsu _x000D_6::DVD drive::180::6::Winchester</v>
      </c>
      <c r="C78" s="17" t="b">
        <f t="shared" si="7"/>
        <v>0</v>
      </c>
      <c r="D78" s="1" t="s">
        <v>366</v>
      </c>
    </row>
    <row r="79" spans="1:9" ht="68" x14ac:dyDescent="0.2">
      <c r="A79" s="17" t="str">
        <f t="shared" ca="1" si="10"/>
        <v>=relJoin($B$14,$B$15,"NATURAL")</v>
      </c>
      <c r="B79" s="7" t="str">
        <f>[1]!relJoin($B$14,$B$15,"NATURAL")</f>
        <v>eid::ename</v>
      </c>
      <c r="C79" s="17" t="b">
        <f t="shared" si="7"/>
        <v>0</v>
      </c>
      <c r="D79" s="1" t="s">
        <v>367</v>
      </c>
      <c r="E79" s="1"/>
      <c r="F79" s="1"/>
      <c r="G79" s="1"/>
      <c r="I79" t="str">
        <f>[1]!relFilter(E79,G79,"J NATURAL")</f>
        <v>Error relFilter 9: Subscript out of range</v>
      </c>
    </row>
    <row r="80" spans="1:9" ht="409.6" x14ac:dyDescent="0.2">
      <c r="A80" s="17" t="str">
        <f t="shared" ca="1" si="10"/>
        <v>=relJoin($B$13,$B$13,"$1=$1")</v>
      </c>
      <c r="B80" s="7" t="str">
        <f>[1]!relJoin($B$13,$B$13,"$1=$1")</f>
        <v>pid_1::pname_1::price_1::pid_2::pname_2::price_2 _x000D_1::Hard drive::240::1::Hard drive::240 _x000D_1::Hard drive::240::2::Memory::120 _x000D_1::Hard drive::240::3::ZIP drive::150 _x000D_1::Hard drive::240::4::Floppy disk::5 _x000D_1::Hard drive::240::5::Monitor::240 _x000D_1::Hard drive::240::6::DVD drive::180 _x000D_1::Hard drive::240::7::CD drive::90 _x000D_1::Hard drive::240::8::Printer::270 _x000D_1::Hard drive::240::9::Toner cartridge::66 _x000D_1::Hard drive::240::10::DVD burner::180 _x000D_2::Memory::120::1::Hard drive::240 _x000D_2::Memory::120::2::Memory::120 _x000D_2::Memory::120::3::ZIP drive::150 _x000D_2::Memory::120::4::Floppy disk::5 _x000D_2::Memory::120::5::Monitor::240 _x000D_2::Memory::120::6::DVD drive::180 _x000D_2::Memory::120::7::CD drive::90 _x000D_2::Memory::120::8::Printer::270 _x000D_2::Memory::120::9::Toner cartridge::66 _x000D_2::Memory::120::10::DVD burner::180 _x000D_3::ZIP drive::150::1::Hard drive::240 _x000D_3::ZIP drive::150::2::Memory::120 _x000D_3::ZIP drive::150::3::ZIP drive::150 _x000D_3::ZIP drive::150::4::Floppy disk::5 _x000D_3::ZIP drive::150::5::Monitor::240 _x000D_3::ZIP drive::150::6::DVD drive::180 _x000D_3::ZIP drive::150::7::CD drive::90 _x000D_3::ZIP drive::150::8::Printer::270 _x000D_3::ZIP drive::150::9::Toner cartridge::66 _x000D_3::ZIP drive::150::10::DVD burner::180 _x000D_4::Floppy disk::5::1::Hard drive::240 _x000D_4::Floppy disk::5::2::Memory::120 _x000D_4::Floppy disk::5::3::ZIP drive::150 _x000D_4::Floppy disk::5::4::Floppy disk::5 _x000D_4::Floppy disk::5::5::Monitor::240 _x000D_4::Floppy disk::5::6::DVD drive::180 _x000D_4::Floppy disk::5::7::CD drive::90 _x000D_4::Floppy disk::5::8::Printer::270 _x000D_4::Floppy disk::5::9::Toner cartridge::66 _x000D_4::Floppy disk::5::10::DVD burner::180 _x000D_5::Monitor::240::1::Hard drive::240 _x000D_5::Monitor::240::2::Memory::120 _x000D_5::Monitor::240::3::ZIP drive::150 _x000D_5::Monitor::240::4::Floppy disk::5 _x000D_5::Monitor::240::5::Monitor::240 _x000D_5::Monitor::240::6::DVD drive::180 _x000D_5::Monitor::240::7::CD drive::90 _x000D_5::Monitor::240::8::Printer::270 _x000D_5::Monitor::240::9::Toner cartridge::66 _x000D_5::Monitor::240::10::DVD burner::180 _x000D_6::DVD drive::180::1::Hard drive::240 _x000D_6::DVD drive::180::2::Memory::120 _x000D_6::DVD drive::180::3::ZIP drive::150 _x000D_6::DVD drive::180::4::Floppy disk::5 _x000D_6::DVD drive::180::5::Monitor::240 _x000D_6::DVD drive::180::6::DVD drive::180 _x000D_6::DVD drive::180::7::CD drive::90 _x000D_6::DVD drive::180::8::Printer::270 _x000D_6::DVD drive::180::9::Toner cartridge::66 _x000D_6::DVD drive::180::10::DVD burner::180 _x000D_7::CD drive::90::1::Hard drive::240 _x000D_7::CD drive::90::2::Memory::120 _x000D_7::CD drive::90::3::ZIP drive::150 _x000D_7::CD drive::90::4::Floppy disk::5 _x000D_7::CD drive::90::5::Monitor::240 _x000D_7::CD drive::90::6::DVD drive::180 _x000D_7::CD drive::90::7::CD drive::90 _x000D_7::CD drive::90::8::Printer::270 _x000D_7::CD drive::90::9::Toner cartridge::66 _x000D_7::CD drive::90::10::DVD burner::180 _x000D_8::Printer::270::1::Hard drive::240 _x000D_8::Printer::270::2::Memory::120 _x000D_8::Printer::270::3::ZIP drive::150 _x000D_8::Printer::270::4::Floppy disk::5 _x000D_8::Printer::270::5::Monitor::240 _x000D_8::Printer::270::6::DVD drive::180 _x000D_8::Printer::270::7::CD drive::90 _x000D_8::Printer::270::8::Printer::270 _x000D_8::Printer::270::9::Toner cartridge::66 _x000D_8::Printer::270::10::DVD burner::180 _x000D_9::Toner cartridge::66::1::Hard drive::240 _x000D_9::Toner cartridge::66::2::Memory::120 _x000D_9::Toner cartridge::66::3::ZIP drive::150 _x000D_9::Toner cartridge::66::4::Floppy disk::5 _x000D_9::Toner cartridge::66::5::Monitor::240 _x000D_9::Toner cartridge::66::6::DVD drive::180 _x000D_9::Toner cartridge::66::7::CD drive::90 _x000D_9::Toner cartridge::66::8::Printer::270 _x000D_9::Toner cartridge::66::9::Toner cartridge::66 _x000D_9::Toner cartridge::66::10::DVD burner::180 _x000D_10::DVD burner::180::1::Hard drive::240 _x000D_10::DVD burner::180::2::Memory::120 _x000D_10::DVD burner::180::3::ZIP drive::150 _x000D_10::DVD burner::180::4::Floppy disk::5 _x000D_10::DVD burner::180::5::Monitor::240 _x000D_10::DVD burner::180::6::DVD drive::180 _x000D_10::DVD burner::180::7::CD drive::90 _x000D_10::DVD burner::180::8::Printer::270 _x000D_10::DVD burner::180::9::Toner cartridge::66 _x000D_10::DVD burner::180::10::DVD burner::180</v>
      </c>
      <c r="C80" s="17" t="b">
        <f t="shared" si="7"/>
        <v>0</v>
      </c>
      <c r="D80" s="1" t="s">
        <v>365</v>
      </c>
    </row>
    <row r="81" spans="1:5" x14ac:dyDescent="0.2">
      <c r="A81" s="17" t="str">
        <f t="shared" ca="1" si="10"/>
        <v>=relJoin("",$B$12,"true")</v>
      </c>
      <c r="B81" t="str">
        <f>[1]!relJoin("",$B$12,"true")</f>
        <v/>
      </c>
      <c r="C81" s="17" t="b">
        <f t="shared" si="7"/>
        <v>1</v>
      </c>
      <c r="D81" t="s">
        <v>93</v>
      </c>
      <c r="E81" s="2" t="s">
        <v>95</v>
      </c>
    </row>
    <row r="82" spans="1:5" x14ac:dyDescent="0.2">
      <c r="A82" s="17" t="str">
        <f t="shared" ca="1" si="10"/>
        <v>=relJoin($B$12,"","true")</v>
      </c>
      <c r="B82" t="str">
        <f>[1]!relJoin($B$12,"","true")</f>
        <v/>
      </c>
      <c r="C82" s="17" t="b">
        <f t="shared" si="7"/>
        <v>1</v>
      </c>
      <c r="D82" t="s">
        <v>93</v>
      </c>
      <c r="E82" s="2" t="s">
        <v>95</v>
      </c>
    </row>
    <row r="83" spans="1:5" x14ac:dyDescent="0.2">
      <c r="A83" s="17" t="str">
        <f t="shared" ca="1" si="10"/>
        <v>=relJoin("","","true")</v>
      </c>
      <c r="B83" t="str">
        <f>[1]!relJoin("","","true")</f>
        <v/>
      </c>
      <c r="C83" s="17" t="b">
        <f t="shared" si="7"/>
        <v>1</v>
      </c>
      <c r="D83" t="s">
        <v>93</v>
      </c>
      <c r="E83" s="2" t="s">
        <v>95</v>
      </c>
    </row>
    <row r="84" spans="1:5" x14ac:dyDescent="0.2">
      <c r="A84" s="17" t="str">
        <f t="shared" ca="1" si="10"/>
        <v>=relJoin($B$13,$B$14,"blabla")</v>
      </c>
      <c r="B84" t="str">
        <f>[1]!relJoin($B$13,$B$14,"blabla")</f>
        <v>#ERROR CONDITION LINE  2/ 2 : =(blabla)</v>
      </c>
      <c r="C84" s="17" t="b">
        <f t="shared" si="7"/>
        <v>1</v>
      </c>
      <c r="D84" t="s">
        <v>343</v>
      </c>
    </row>
    <row r="85" spans="1:5" x14ac:dyDescent="0.2">
      <c r="A85" s="17" t="str">
        <f t="shared" ca="1" si="10"/>
        <v>=relJoin($B$13,$B$14,"$1=$3",)</v>
      </c>
      <c r="B85" s="17" t="str">
        <f>[1]!relJoin($B$13,$B$14,"$1=$3",)</f>
        <v>pid::pname::price::eid::ename</v>
      </c>
      <c r="C85" s="17" t="b">
        <f t="shared" si="7"/>
        <v>1</v>
      </c>
      <c r="D85" t="s">
        <v>344</v>
      </c>
    </row>
    <row r="86" spans="1:5" x14ac:dyDescent="0.2">
      <c r="A86" s="17"/>
    </row>
    <row r="87" spans="1:5" ht="187" x14ac:dyDescent="0.2">
      <c r="A87" s="17" t="str">
        <f t="shared" ca="1" si="10"/>
        <v>=relOrder($B$13,"3 9::2 A")</v>
      </c>
      <c r="B87" s="1" t="str">
        <f>[1]!relOrder($B$13,"3 9::2 A")</f>
        <v>pid::pname::price _x000D_8::Printer::270 _x000D_1::Hard drive::240 _x000D_5::Monitor::240 _x000D_10::DVD burner::180 _x000D_6::DVD drive::180 _x000D_3::ZIP drive::150 _x000D_2::Memory::120 _x000D_7::CD drive::90 _x000D_9::Toner cartridge::66 _x000D_4::Floppy disk::5</v>
      </c>
      <c r="C87" s="17" t="b">
        <f t="shared" si="7"/>
        <v>0</v>
      </c>
      <c r="D87" s="1" t="s">
        <v>369</v>
      </c>
    </row>
    <row r="88" spans="1:5" x14ac:dyDescent="0.2">
      <c r="A88" s="17" t="str">
        <f t="shared" ca="1" si="10"/>
        <v>=relOrder($B$13,"3 9::blabla::2 A")</v>
      </c>
      <c r="B88" t="str">
        <f>[1]!relOrder($B$13,"3 9::blabla::2 A")</f>
        <v>ERROR COLUMN blabla</v>
      </c>
      <c r="C88" s="17" t="b">
        <f t="shared" si="7"/>
        <v>1</v>
      </c>
      <c r="D88" t="s">
        <v>370</v>
      </c>
    </row>
    <row r="89" spans="1:5" x14ac:dyDescent="0.2">
      <c r="A89" s="17"/>
    </row>
    <row r="90" spans="1:5" x14ac:dyDescent="0.2">
      <c r="A90" s="17" t="str">
        <f t="shared" ca="1" si="10"/>
        <v>=relCell($B$13,1,2)</v>
      </c>
      <c r="B90" t="str">
        <f>[1]!relCell($B$13,1,2)</f>
        <v>Hard drive</v>
      </c>
      <c r="C90" s="17" t="b">
        <f t="shared" si="7"/>
        <v>1</v>
      </c>
      <c r="D90" t="s">
        <v>9</v>
      </c>
    </row>
    <row r="91" spans="1:5" x14ac:dyDescent="0.2">
      <c r="A91" s="17" t="str">
        <f t="shared" ca="1" si="10"/>
        <v>=relCell($B$13,2,99)</v>
      </c>
      <c r="B91" t="str">
        <f>[1]!relCell($B$13,2,99)</f>
        <v/>
      </c>
      <c r="C91" s="17" t="b">
        <f t="shared" si="7"/>
        <v>1</v>
      </c>
      <c r="D91" t="str">
        <f>[1]!relCell($B$13,2,99)</f>
        <v/>
      </c>
    </row>
    <row r="92" spans="1:5" x14ac:dyDescent="0.2">
      <c r="A92" s="17" t="str">
        <f t="shared" ca="1" si="10"/>
        <v>=relCell($B$13,99,2)</v>
      </c>
      <c r="B92" t="str">
        <f>[1]!relCell($B$13,99,2)</f>
        <v/>
      </c>
      <c r="C92" s="17" t="b">
        <f t="shared" ref="C92" si="11">(B92=D92)</f>
        <v>1</v>
      </c>
      <c r="D92" t="str">
        <f>[1]!relCell($B$13,99,2)</f>
        <v/>
      </c>
      <c r="E92" s="2"/>
    </row>
    <row r="93" spans="1:5" x14ac:dyDescent="0.2">
      <c r="A93" s="17" t="str">
        <f t="shared" ca="1" si="10"/>
        <v>=relCell($B$13,2,99,0,1)</v>
      </c>
      <c r="B93" t="str">
        <f>[1]!relCell($B$13,2,99,0,1)</f>
        <v/>
      </c>
      <c r="C93" s="17" t="b">
        <f t="shared" si="7"/>
        <v>1</v>
      </c>
      <c r="E93" s="2"/>
    </row>
    <row r="94" spans="1:5" x14ac:dyDescent="0.2">
      <c r="A94" s="17" t="str">
        <f t="shared" ca="1" si="10"/>
        <v>=relCell($B$13,99,2,0,1)</v>
      </c>
      <c r="B94" t="str">
        <f>[1]!relCell($B$13,99,2,0,1)</f>
        <v/>
      </c>
      <c r="C94" s="17" t="b">
        <f t="shared" ref="C94" si="12">(B94=D94)</f>
        <v>1</v>
      </c>
      <c r="E94" s="2"/>
    </row>
    <row r="95" spans="1:5" x14ac:dyDescent="0.2">
      <c r="A95" s="17" t="str">
        <f t="shared" ca="1" si="10"/>
        <v>=relCell($B$13,0,2)</v>
      </c>
      <c r="B95" t="str">
        <f>[1]!relCell($B$13,0,2)</f>
        <v>pname</v>
      </c>
      <c r="C95" s="17" t="b">
        <f t="shared" si="7"/>
        <v>1</v>
      </c>
      <c r="D95" t="s">
        <v>328</v>
      </c>
    </row>
    <row r="96" spans="1:5" x14ac:dyDescent="0.2">
      <c r="A96" s="17" t="str">
        <f t="shared" ca="1" si="10"/>
        <v>=relCell("",1,1)</v>
      </c>
      <c r="B96" t="str">
        <f>[1]!relCell("",1,1)</f>
        <v/>
      </c>
      <c r="C96" s="17" t="b">
        <f t="shared" si="7"/>
        <v>1</v>
      </c>
    </row>
    <row r="97" spans="1:4" x14ac:dyDescent="0.2">
      <c r="A97" s="17" t="str">
        <f t="shared" ca="1" si="10"/>
        <v>=relCell("1::Sony",1,2)</v>
      </c>
      <c r="B97" t="str">
        <f>[1]!relCell("1::Sony",1,2)</f>
        <v/>
      </c>
      <c r="C97" s="17" t="b">
        <f t="shared" si="7"/>
        <v>1</v>
      </c>
      <c r="D97" t="str">
        <f>[1]!relCell("1::Sony",1,2)</f>
        <v/>
      </c>
    </row>
  </sheetData>
  <pageMargins left="0.75" right="0.75" top="1" bottom="1" header="0.5" footer="0.5"/>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Presentation</vt:lpstr>
      <vt:lpstr>Computer store</vt:lpstr>
      <vt:lpstr>Employees</vt:lpstr>
      <vt:lpstr>Warehouse</vt:lpstr>
      <vt:lpstr>Pieces and Providers</vt:lpstr>
      <vt:lpstr>Acounts</vt:lpstr>
      <vt:lpstr>Fixpoint</vt:lpstr>
      <vt:lpstr>Unit Test</vt:lpstr>
      <vt:lpstr>boxes</vt:lpstr>
      <vt:lpstr>departments</vt:lpstr>
      <vt:lpstr>employees</vt:lpstr>
      <vt:lpstr>journal</vt:lpstr>
      <vt:lpstr>manufacturers</vt:lpstr>
      <vt:lpstr>pieces</vt:lpstr>
      <vt:lpstr>products</vt:lpstr>
      <vt:lpstr>providers</vt:lpstr>
      <vt:lpstr>provides</vt:lpstr>
      <vt:lpstr>providesdata</vt:lpstr>
      <vt:lpstr>warehouses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Matthias Bürcher</cp:lastModifiedBy>
  <dcterms:created xsi:type="dcterms:W3CDTF">2016-04-09T14:17:01Z</dcterms:created>
  <dcterms:modified xsi:type="dcterms:W3CDTF">2020-08-21T08:52:46Z</dcterms:modified>
</cp:coreProperties>
</file>