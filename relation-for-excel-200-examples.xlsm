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7A2D7E96-6E34-419A-AE5F-296B3A7E7977}"/>
  <workbookPr showInkAnnotation="0" codeName="DieseArbeitsmappe" autoCompressPictures="0"/>
  <bookViews>
    <workbookView xWindow="500" yWindow="800" windowWidth="25120" windowHeight="16060" tabRatio="696"/>
  </bookViews>
  <sheets>
    <sheet name="Presentation" sheetId="2" r:id="rId1"/>
    <sheet name="Computer store" sheetId="3" r:id="rId2"/>
    <sheet name="Employees" sheetId="6" r:id="rId3"/>
    <sheet name="Warehouse" sheetId="7" r:id="rId4"/>
    <sheet name="Pieces and Providers" sheetId="8" r:id="rId5"/>
    <sheet name="Acounts" sheetId="9" r:id="rId6"/>
    <sheet name="Fixpoint" sheetId="10" r:id="rId7"/>
    <sheet name="Unit Test" sheetId="4" r:id="rId8"/>
  </sheets>
  <definedNames>
    <definedName name="boxes">Warehouse!$H$20</definedName>
    <definedName name="departments">Employees!$D$22</definedName>
    <definedName name="employees">Employees!$H$22</definedName>
    <definedName name="journal">Acounts!$I$6</definedName>
    <definedName name="manufacturers">'Computer store'!$D$21</definedName>
    <definedName name="pieces">'Pieces and Providers'!$D$20</definedName>
    <definedName name="products">'Computer store'!$G$21</definedName>
    <definedName name="providers">'Pieces and Providers'!$L$20</definedName>
    <definedName name="provides">'Pieces and Providers'!$H$20</definedName>
    <definedName name="providesdata">'Pieces and Providers'!$H$20</definedName>
    <definedName name="warehouses">Warehouse!$D$20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1" i="7" l="1"/>
  <c r="H37" i="7"/>
  <c r="H50" i="6"/>
  <c r="G61" i="3"/>
  <c r="G47" i="3"/>
  <c r="D122" i="2"/>
  <c r="D120" i="2"/>
  <c r="D51" i="2"/>
  <c r="G66" i="2"/>
  <c r="D66" i="2"/>
  <c r="B97" i="4"/>
  <c r="B81" i="4"/>
  <c r="B64" i="4"/>
  <c r="B48" i="4"/>
  <c r="B28" i="4"/>
  <c r="B96" i="4"/>
  <c r="B74" i="4"/>
  <c r="B57" i="4"/>
  <c r="B44" i="4"/>
  <c r="B83" i="4"/>
  <c r="B73" i="4"/>
  <c r="B54" i="4"/>
  <c r="B30" i="4"/>
  <c r="B29" i="4"/>
  <c r="B82" i="4"/>
  <c r="B65" i="4"/>
  <c r="B55" i="4"/>
  <c r="B47" i="4"/>
  <c r="B45" i="4"/>
  <c r="B46" i="4"/>
  <c r="A92" i="4"/>
  <c r="A97" i="4"/>
  <c r="A85" i="4"/>
  <c r="A81" i="4"/>
  <c r="A67" i="4"/>
  <c r="A69" i="4"/>
  <c r="A61" i="4"/>
  <c r="A56" i="4"/>
  <c r="A53" i="4"/>
  <c r="A50" i="4"/>
  <c r="A48" i="4"/>
  <c r="A32" i="4"/>
  <c r="A41" i="4"/>
  <c r="A96" i="4"/>
  <c r="A83" i="4"/>
  <c r="A82" i="4"/>
  <c r="A65" i="4"/>
  <c r="A59" i="4"/>
  <c r="A40" i="4"/>
  <c r="A38" i="4"/>
  <c r="A91" i="4"/>
  <c r="A84" i="4"/>
  <c r="A79" i="4"/>
  <c r="A72" i="4"/>
  <c r="A63" i="4"/>
  <c r="A55" i="4"/>
  <c r="A51" i="4"/>
  <c r="A36" i="4"/>
  <c r="A43" i="4"/>
  <c r="A90" i="4"/>
  <c r="A93" i="4"/>
  <c r="A87" i="4"/>
  <c r="A76" i="4"/>
  <c r="A78" i="4"/>
  <c r="A74" i="4"/>
  <c r="A71" i="4"/>
  <c r="A73" i="4"/>
  <c r="A60" i="4"/>
  <c r="A42" i="4"/>
  <c r="A46" i="4"/>
  <c r="A37" i="4"/>
  <c r="A29" i="4"/>
  <c r="A95" i="4"/>
  <c r="A88" i="4"/>
  <c r="A80" i="4"/>
  <c r="A68" i="4"/>
  <c r="A62" i="4"/>
  <c r="A54" i="4"/>
  <c r="A47" i="4"/>
  <c r="A39" i="4"/>
  <c r="A94" i="4"/>
  <c r="A77" i="4"/>
  <c r="A70" i="4"/>
  <c r="A64" i="4"/>
  <c r="A57" i="4"/>
  <c r="A52" i="4"/>
  <c r="A45" i="4"/>
  <c r="A44" i="4"/>
  <c r="C96" i="4"/>
  <c r="C97" i="4"/>
  <c r="C73" i="4"/>
  <c r="C74" i="4"/>
  <c r="C83" i="4"/>
  <c r="C82" i="4"/>
  <c r="C81" i="4"/>
  <c r="C65" i="4"/>
  <c r="C55" i="4"/>
  <c r="C48" i="4"/>
  <c r="C29" i="4"/>
  <c r="D118" i="2"/>
  <c r="B13" i="10"/>
  <c r="H22" i="6"/>
  <c r="H13" i="10"/>
  <c r="H38" i="6"/>
  <c r="G21" i="3"/>
  <c r="H33" i="6"/>
  <c r="G34" i="3"/>
  <c r="B28" i="10"/>
  <c r="H20" i="7"/>
  <c r="H30" i="7"/>
  <c r="D21" i="3"/>
  <c r="H24" i="6"/>
  <c r="H28" i="7"/>
  <c r="G24" i="3"/>
  <c r="G27" i="3"/>
  <c r="G59" i="3"/>
  <c r="D22" i="6"/>
  <c r="I57" i="9"/>
  <c r="H26" i="6"/>
  <c r="B15" i="10"/>
  <c r="H31" i="6"/>
  <c r="L20" i="8"/>
  <c r="G53" i="3"/>
  <c r="H40" i="6"/>
  <c r="H26" i="7"/>
  <c r="G43" i="3"/>
  <c r="G30" i="3"/>
  <c r="H44" i="6"/>
  <c r="H20" i="8"/>
  <c r="H27" i="8"/>
  <c r="H35" i="6"/>
  <c r="D20" i="7"/>
  <c r="H32" i="7"/>
  <c r="D20" i="8"/>
  <c r="H37" i="8"/>
  <c r="B38" i="10"/>
  <c r="H29" i="6"/>
  <c r="H34" i="7"/>
  <c r="H39" i="8"/>
  <c r="G57" i="3"/>
  <c r="G50" i="3"/>
  <c r="G37" i="3"/>
  <c r="H42" i="6"/>
  <c r="G40" i="3"/>
  <c r="G55" i="3"/>
  <c r="H46" i="6"/>
  <c r="H48" i="6"/>
  <c r="H33" i="8"/>
  <c r="H24" i="8"/>
  <c r="I6" i="9"/>
  <c r="I7" i="9"/>
  <c r="B18" i="4"/>
  <c r="B14" i="4"/>
  <c r="B15" i="4"/>
  <c r="B26" i="4"/>
  <c r="B17" i="4"/>
  <c r="B16" i="4"/>
  <c r="B62" i="4"/>
  <c r="B27" i="4"/>
  <c r="B32" i="4"/>
  <c r="B13" i="4"/>
  <c r="B33" i="4"/>
  <c r="B36" i="4"/>
  <c r="B20" i="4"/>
  <c r="B42" i="4"/>
  <c r="B67" i="4"/>
  <c r="B68" i="4"/>
  <c r="B85" i="4"/>
  <c r="B70" i="4"/>
  <c r="B80" i="4"/>
  <c r="B95" i="4"/>
  <c r="B92" i="4"/>
  <c r="B25" i="4"/>
  <c r="B41" i="4"/>
  <c r="B50" i="4"/>
  <c r="B52" i="4"/>
  <c r="B78" i="4"/>
  <c r="B61" i="4"/>
  <c r="B72" i="4"/>
  <c r="B90" i="4"/>
  <c r="A23" i="4"/>
  <c r="H36" i="8"/>
  <c r="D119" i="2"/>
  <c r="G58" i="3"/>
  <c r="G65" i="2"/>
  <c r="D112" i="2"/>
  <c r="G49" i="3"/>
  <c r="A34" i="4"/>
  <c r="H22" i="7"/>
  <c r="H32" i="6"/>
  <c r="H29" i="7"/>
  <c r="G29" i="3"/>
  <c r="G134" i="2"/>
  <c r="H19" i="7"/>
  <c r="A18" i="4"/>
  <c r="H45" i="6"/>
  <c r="H25" i="7"/>
  <c r="D65" i="2"/>
  <c r="D21" i="6"/>
  <c r="D134" i="2"/>
  <c r="A31" i="4"/>
  <c r="B29" i="10"/>
  <c r="H28" i="6"/>
  <c r="G136" i="2"/>
  <c r="D138" i="2"/>
  <c r="D19" i="8"/>
  <c r="D132" i="2"/>
  <c r="B27" i="10"/>
  <c r="H30" i="6"/>
  <c r="I57" i="2"/>
  <c r="A17" i="4"/>
  <c r="H25" i="6"/>
  <c r="D71" i="2"/>
  <c r="D43" i="2"/>
  <c r="H44" i="7"/>
  <c r="G54" i="3"/>
  <c r="H26" i="8"/>
  <c r="A21" i="4"/>
  <c r="H21" i="6"/>
  <c r="D121" i="2"/>
  <c r="H49" i="6"/>
  <c r="G56" i="3"/>
  <c r="D136" i="2"/>
  <c r="H23" i="8"/>
  <c r="G46" i="3"/>
  <c r="H38" i="8"/>
  <c r="A25" i="4"/>
  <c r="H32" i="8"/>
  <c r="G20" i="3"/>
  <c r="H27" i="7"/>
  <c r="D117" i="2"/>
  <c r="H47" i="6"/>
  <c r="G112" i="2"/>
  <c r="A28" i="4"/>
  <c r="D54" i="2"/>
  <c r="G60" i="3"/>
  <c r="D107" i="2"/>
  <c r="G52" i="3"/>
  <c r="H46" i="7"/>
  <c r="G57" i="2"/>
  <c r="A14" i="4"/>
  <c r="D35" i="2"/>
  <c r="B16" i="10"/>
  <c r="G75" i="2"/>
  <c r="H37" i="6"/>
  <c r="H57" i="2"/>
  <c r="A26" i="4"/>
  <c r="A13" i="4"/>
  <c r="G39" i="3"/>
  <c r="B12" i="10"/>
  <c r="G138" i="2"/>
  <c r="G43" i="2"/>
  <c r="D57" i="2"/>
  <c r="A24" i="4"/>
  <c r="D19" i="7"/>
  <c r="L19" i="8"/>
  <c r="B14" i="10"/>
  <c r="G23" i="3"/>
  <c r="H40" i="7"/>
  <c r="A20" i="4"/>
  <c r="H42" i="7"/>
  <c r="G132" i="2"/>
  <c r="A22" i="4"/>
  <c r="B37" i="10"/>
  <c r="H19" i="8"/>
  <c r="A33" i="4"/>
  <c r="H31" i="7"/>
  <c r="G36" i="3"/>
  <c r="G42" i="3"/>
  <c r="H34" i="6"/>
  <c r="D75" i="2"/>
  <c r="H41" i="6"/>
  <c r="A16" i="4"/>
  <c r="H29" i="8"/>
  <c r="H33" i="7"/>
  <c r="A27" i="4"/>
  <c r="D20" i="3"/>
  <c r="G26" i="3"/>
  <c r="E75" i="2"/>
  <c r="H43" i="6"/>
  <c r="H36" i="7"/>
  <c r="G33" i="3"/>
  <c r="A15" i="4"/>
  <c r="H23" i="6"/>
  <c r="H39" i="6"/>
  <c r="B76" i="4"/>
  <c r="B69" i="4"/>
  <c r="B31" i="4"/>
  <c r="B59" i="4"/>
  <c r="B79" i="4"/>
  <c r="B91" i="4"/>
  <c r="B88" i="4"/>
  <c r="B77" i="4"/>
  <c r="B63" i="4"/>
  <c r="B84" i="4"/>
  <c r="B53" i="4"/>
  <c r="B51" i="4"/>
  <c r="B40" i="4"/>
  <c r="B38" i="4"/>
  <c r="B21" i="4"/>
  <c r="B24" i="4"/>
  <c r="B23" i="4"/>
  <c r="B94" i="4"/>
  <c r="B56" i="4"/>
  <c r="B60" i="4"/>
  <c r="B43" i="4"/>
  <c r="B22" i="4"/>
  <c r="B93" i="4"/>
  <c r="B87" i="4"/>
  <c r="B71" i="4"/>
  <c r="B39" i="4"/>
  <c r="B37" i="4"/>
  <c r="B34" i="4"/>
  <c r="I8" i="9"/>
  <c r="I9" i="9"/>
  <c r="I10" i="9"/>
  <c r="I11" i="9"/>
  <c r="I12" i="9"/>
  <c r="I16" i="9"/>
  <c r="I13" i="9"/>
  <c r="I14" i="9"/>
  <c r="I18" i="9"/>
  <c r="I15" i="9"/>
  <c r="I17" i="9"/>
  <c r="I19" i="9"/>
  <c r="I22" i="9"/>
  <c r="C92" i="4"/>
  <c r="C94" i="4"/>
  <c r="C93" i="4"/>
  <c r="C95" i="4"/>
  <c r="C91" i="4"/>
  <c r="C90" i="4"/>
  <c r="C80" i="4"/>
  <c r="C72" i="4"/>
  <c r="C71" i="4"/>
  <c r="C70" i="4"/>
  <c r="C85" i="4"/>
  <c r="C84" i="4"/>
  <c r="C69" i="4"/>
  <c r="C68" i="4"/>
  <c r="C79" i="4"/>
  <c r="C56" i="4"/>
  <c r="C37" i="4"/>
  <c r="C32" i="4"/>
  <c r="C21" i="4"/>
  <c r="C18" i="4"/>
  <c r="D81" i="2"/>
  <c r="E96" i="2"/>
  <c r="G26" i="2"/>
  <c r="G36" i="2"/>
  <c r="D108" i="2"/>
  <c r="E101" i="2"/>
  <c r="H26" i="2"/>
  <c r="G133" i="2"/>
  <c r="H31" i="2"/>
  <c r="B30" i="10"/>
  <c r="E98" i="2"/>
  <c r="H23" i="7"/>
  <c r="H30" i="8"/>
  <c r="E104" i="2"/>
  <c r="B40" i="10"/>
  <c r="D26" i="2"/>
  <c r="E102" i="2"/>
  <c r="D58" i="2"/>
  <c r="E103" i="2"/>
  <c r="G139" i="2"/>
  <c r="E105" i="2"/>
  <c r="E100" i="2"/>
  <c r="E99" i="2"/>
  <c r="B17" i="10"/>
  <c r="E106" i="2"/>
  <c r="G135" i="2"/>
  <c r="G31" i="2"/>
  <c r="G97" i="2"/>
  <c r="D36" i="2"/>
  <c r="I58" i="2"/>
  <c r="E97" i="2"/>
  <c r="D139" i="2"/>
  <c r="D137" i="2"/>
  <c r="D31" i="2"/>
  <c r="D133" i="2"/>
  <c r="E36" i="2"/>
  <c r="D135" i="2"/>
  <c r="H43" i="7"/>
  <c r="G76" i="2"/>
  <c r="E76" i="2"/>
  <c r="D30" i="2"/>
  <c r="E35" i="2"/>
  <c r="G25" i="2"/>
  <c r="G50" i="2"/>
  <c r="G35" i="2"/>
  <c r="G30" i="2"/>
  <c r="G39" i="2"/>
  <c r="D25" i="2"/>
  <c r="H35" i="2"/>
  <c r="H25" i="2"/>
  <c r="G46" i="2"/>
  <c r="H30" i="2"/>
  <c r="D39" i="2"/>
  <c r="D46" i="2"/>
  <c r="D50" i="2"/>
  <c r="C15" i="4"/>
  <c r="C14" i="4"/>
  <c r="C39" i="4"/>
  <c r="C26" i="4"/>
  <c r="C47" i="4"/>
  <c r="C62" i="4"/>
  <c r="C31" i="4"/>
  <c r="C22" i="4"/>
  <c r="C43" i="4"/>
  <c r="C33" i="4"/>
  <c r="C78" i="4"/>
  <c r="I20" i="9"/>
  <c r="C23" i="4"/>
  <c r="C27" i="4"/>
  <c r="C34" i="4"/>
  <c r="C40" i="4"/>
  <c r="C44" i="4"/>
  <c r="C50" i="4"/>
  <c r="C52" i="4"/>
  <c r="C57" i="4"/>
  <c r="C63" i="4"/>
  <c r="C87" i="4"/>
  <c r="C17" i="4"/>
  <c r="C24" i="4"/>
  <c r="C28" i="4"/>
  <c r="C36" i="4"/>
  <c r="C41" i="4"/>
  <c r="C45" i="4"/>
  <c r="C51" i="4"/>
  <c r="C53" i="4"/>
  <c r="C59" i="4"/>
  <c r="C60" i="4"/>
  <c r="C64" i="4"/>
  <c r="C76" i="4"/>
  <c r="C88" i="4"/>
  <c r="C16" i="4"/>
  <c r="I23" i="9"/>
  <c r="I21" i="9"/>
  <c r="C20" i="4"/>
  <c r="C25" i="4"/>
  <c r="C38" i="4"/>
  <c r="C42" i="4"/>
  <c r="C46" i="4"/>
  <c r="C54" i="4"/>
  <c r="C61" i="4"/>
  <c r="C67" i="4"/>
  <c r="C77" i="4"/>
  <c r="C13" i="4"/>
  <c r="H58" i="2"/>
  <c r="H36" i="2"/>
  <c r="G40" i="2"/>
  <c r="G47" i="2"/>
  <c r="G58" i="2"/>
  <c r="D40" i="2"/>
  <c r="D44" i="2"/>
  <c r="D47" i="2"/>
  <c r="G137" i="2"/>
  <c r="J3" i="9"/>
  <c r="I3" i="9"/>
  <c r="H45" i="7"/>
  <c r="D76" i="2"/>
  <c r="D82" i="2" a="1"/>
  <c r="D72" i="2"/>
  <c r="G91" i="2"/>
  <c r="G87" i="2"/>
  <c r="G83" i="2"/>
  <c r="F92" i="2"/>
  <c r="F88" i="2"/>
  <c r="F84" i="2"/>
  <c r="E93" i="2"/>
  <c r="E89" i="2"/>
  <c r="E85" i="2"/>
  <c r="D94" i="2"/>
  <c r="D90" i="2"/>
  <c r="D86" i="2"/>
  <c r="D82" i="2"/>
  <c r="G93" i="2"/>
  <c r="F94" i="2"/>
  <c r="F82" i="2"/>
  <c r="E87" i="2"/>
  <c r="D92" i="2"/>
  <c r="D84" i="2"/>
  <c r="G94" i="2"/>
  <c r="G90" i="2"/>
  <c r="G86" i="2"/>
  <c r="G82" i="2"/>
  <c r="F91" i="2"/>
  <c r="F87" i="2"/>
  <c r="F83" i="2"/>
  <c r="E92" i="2"/>
  <c r="E88" i="2"/>
  <c r="E84" i="2"/>
  <c r="D93" i="2"/>
  <c r="D89" i="2"/>
  <c r="D85" i="2"/>
  <c r="G85" i="2"/>
  <c r="F90" i="2"/>
  <c r="F86" i="2"/>
  <c r="E91" i="2"/>
  <c r="E83" i="2"/>
  <c r="D88" i="2"/>
  <c r="G92" i="2"/>
  <c r="G88" i="2"/>
  <c r="G84" i="2"/>
  <c r="F93" i="2"/>
  <c r="F89" i="2"/>
  <c r="F85" i="2"/>
  <c r="E94" i="2"/>
  <c r="E90" i="2"/>
  <c r="E86" i="2"/>
  <c r="E82" i="2"/>
  <c r="D91" i="2"/>
  <c r="D87" i="2"/>
  <c r="D83" i="2"/>
  <c r="G89" i="2"/>
  <c r="G44" i="2"/>
  <c r="G51" i="2"/>
  <c r="D113" i="2"/>
  <c r="G113" i="2"/>
  <c r="H47" i="7"/>
  <c r="D55" i="2"/>
</calcChain>
</file>

<file path=xl/sharedStrings.xml><?xml version="1.0" encoding="utf-8"?>
<sst xmlns="http://schemas.openxmlformats.org/spreadsheetml/2006/main" count="534" uniqueCount="376">
  <si>
    <t>code</t>
  </si>
  <si>
    <t>name</t>
  </si>
  <si>
    <t>Sony</t>
  </si>
  <si>
    <t>Creative Labs</t>
  </si>
  <si>
    <t>Hewlett Packard</t>
  </si>
  <si>
    <t>Fujitsu</t>
  </si>
  <si>
    <t>Winchester</t>
  </si>
  <si>
    <t>price</t>
  </si>
  <si>
    <t>manufacturer</t>
  </si>
  <si>
    <t>Hard drive</t>
  </si>
  <si>
    <t>Memory</t>
  </si>
  <si>
    <t>ZIP drive</t>
  </si>
  <si>
    <t>Floppy disk</t>
  </si>
  <si>
    <t>Monitor</t>
  </si>
  <si>
    <t>DVD drive</t>
  </si>
  <si>
    <t>CD drive</t>
  </si>
  <si>
    <t>Printer</t>
  </si>
  <si>
    <t>Toner cartridge</t>
  </si>
  <si>
    <t>DVD burner</t>
  </si>
  <si>
    <t>This macro provides functions to make simple relational algebra</t>
  </si>
  <si>
    <t>The functions are demonstrated here</t>
  </si>
  <si>
    <t>Iomega</t>
  </si>
  <si>
    <t>Our data</t>
  </si>
  <si>
    <t>Manufacturer data</t>
  </si>
  <si>
    <t>Products data</t>
  </si>
  <si>
    <t>Unlike other Excel solutions, this one is purely functional, not using macros.</t>
  </si>
  <si>
    <t>Relations are saved as text in one cell with :: als field and newline as row separator</t>
  </si>
  <si>
    <t>Define relation</t>
  </si>
  <si>
    <t>To see more than one line, format cell as wrap cell and align top</t>
  </si>
  <si>
    <t>Select</t>
  </si>
  <si>
    <t>Project</t>
  </si>
  <si>
    <t>Note that in a cell, the text cannot be more than 32k characters.</t>
  </si>
  <si>
    <t>Extend</t>
  </si>
  <si>
    <t>Union</t>
  </si>
  <si>
    <t>Difference</t>
  </si>
  <si>
    <t>Join</t>
  </si>
  <si>
    <t>For cross product set condition to true</t>
  </si>
  <si>
    <t>Self join is also possible</t>
  </si>
  <si>
    <t>Get values back to cell</t>
  </si>
  <si>
    <t>Current limitations</t>
  </si>
  <si>
    <t>matti@belle-nuit.com</t>
  </si>
  <si>
    <t>Some exercices</t>
  </si>
  <si>
    <t>From http://www.sofawiki.com/demo/queryfunction/the-computer-store</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</si>
  <si>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</si>
  <si>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</si>
  <si>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</si>
  <si>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</si>
  <si>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</si>
  <si>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</si>
  <si>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</si>
  <si>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</si>
  <si>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</si>
  <si>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</si>
  <si>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</si>
  <si>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</si>
  <si>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</si>
  <si>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</si>
  <si>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</si>
  <si>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Order</t>
  </si>
  <si>
    <t>This is not really relational algebra, as sets have no order, but useful</t>
  </si>
  <si>
    <t>List separated by ::, each item is column, space and an order operator</t>
  </si>
  <si>
    <t>A alpha, Z alpha reverse, 9 value top down, 1 value bottom up</t>
  </si>
  <si>
    <t>You may have to double quote strings inside the formula.</t>
  </si>
  <si>
    <t>Like</t>
  </si>
  <si>
    <t>F</t>
  </si>
  <si>
    <t>text</t>
  </si>
  <si>
    <t>f</t>
  </si>
  <si>
    <t>FFF</t>
  </si>
  <si>
    <t>pattern</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</si>
  <si>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</si>
  <si>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</si>
  <si>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</si>
  <si>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</si>
  <si>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</si>
  <si>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</si>
  <si>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</si>
  <si>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</si>
  <si>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</si>
  <si>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</si>
  <si>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</si>
  <si>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</si>
  <si>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</si>
  <si>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Columns are separated by ::. You can also aggregate directly in project with COUNT, SUM, AVG, MIN, MAX</t>
  </si>
  <si>
    <t>Unit Test</t>
  </si>
  <si>
    <t>Formula</t>
  </si>
  <si>
    <t>Expected Value</t>
  </si>
  <si>
    <t>Test</t>
  </si>
  <si>
    <t>Result</t>
  </si>
  <si>
    <t>x</t>
  </si>
  <si>
    <t>y</t>
  </si>
  <si>
    <t>#ERROR COLUMN: 0</t>
  </si>
  <si>
    <t>#ERROR COLUMN: blabla</t>
  </si>
  <si>
    <t>#ERROR LIST EMPTY</t>
  </si>
  <si>
    <t>#ERROR ARITY :  3 &lt;&gt; 2</t>
  </si>
  <si>
    <t/>
  </si>
  <si>
    <t>#ERROR MODE 9:blabla:2</t>
  </si>
  <si>
    <t>is not range</t>
  </si>
  <si>
    <t>empty relation</t>
  </si>
  <si>
    <t>text coerced number will be "0"</t>
  </si>
  <si>
    <t>is not string</t>
  </si>
  <si>
    <t>comment</t>
  </si>
  <si>
    <t>no column</t>
  </si>
  <si>
    <t>space column</t>
  </si>
  <si>
    <t>This meand typically about 350 rows with 12 columns</t>
  </si>
  <si>
    <t>There is  an alternative syntax, where you can enter the formula for an entire range with control-shift-enter (adding curly braces)</t>
  </si>
  <si>
    <t>Filter</t>
  </si>
  <si>
    <t>From http://www.sofawiki.com/demo/queryfunction/employee-management</t>
  </si>
  <si>
    <t>Departments data</t>
  </si>
  <si>
    <t>Employee management</t>
  </si>
  <si>
    <t>ssn</t>
  </si>
  <si>
    <t>lastname</t>
  </si>
  <si>
    <t>department</t>
  </si>
  <si>
    <t>Michael</t>
  </si>
  <si>
    <t>Rogers</t>
  </si>
  <si>
    <t>Anand</t>
  </si>
  <si>
    <t>Manikutty</t>
  </si>
  <si>
    <t>Carol</t>
  </si>
  <si>
    <t>Smith</t>
  </si>
  <si>
    <t>Joe</t>
  </si>
  <si>
    <t>Stevens</t>
  </si>
  <si>
    <t>Mary-Anne</t>
  </si>
  <si>
    <t>Foster</t>
  </si>
  <si>
    <t>George</t>
  </si>
  <si>
    <t>ODonnell</t>
  </si>
  <si>
    <t>John</t>
  </si>
  <si>
    <t>Doe</t>
  </si>
  <si>
    <t>David</t>
  </si>
  <si>
    <t>Zacary</t>
  </si>
  <si>
    <t>Efron</t>
  </si>
  <si>
    <t>Eric</t>
  </si>
  <si>
    <t>Goldsmith</t>
  </si>
  <si>
    <t>Elizabeth</t>
  </si>
  <si>
    <t>Kumar</t>
  </si>
  <si>
    <t>Swamy</t>
  </si>
  <si>
    <t>budget</t>
  </si>
  <si>
    <t>IT</t>
  </si>
  <si>
    <t>Accounting</t>
  </si>
  <si>
    <t>Human Resources</t>
  </si>
  <si>
    <t>Research</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</si>
  <si>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</si>
  <si>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</si>
  <si>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</si>
  <si>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</si>
  <si>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</si>
  <si>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</si>
  <si>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Select the number of employees in each department (you only need to show the department code and the number of employees).</t>
  </si>
  <si>
    <t>Select all the data of employees, including each employee's department's data.</t>
  </si>
  <si>
    <t>Select the name and last name of each employee, along with the name and budget of the employee's department.</t>
  </si>
  <si>
    <t>Select the name and last name of employees working for departments with a budget greater than $60,000.</t>
  </si>
  <si>
    <t>Select the departments with a budget larger than the average budget of all the departments.</t>
  </si>
  <si>
    <t>Select the names of departments with more than two employees</t>
  </si>
  <si>
    <t>Select the name and last name of employees working for departments with second lowest budget.</t>
  </si>
  <si>
    <t>Limit</t>
  </si>
  <si>
    <t>http://www.sofawiki.com/demo/queryfunction/the-warehouse</t>
  </si>
  <si>
    <t>Warehouses data</t>
  </si>
  <si>
    <t>location</t>
  </si>
  <si>
    <t>capacity</t>
  </si>
  <si>
    <t>Chicago</t>
  </si>
  <si>
    <t>New York</t>
  </si>
  <si>
    <t>Los Angeles</t>
  </si>
  <si>
    <t>San Francisco</t>
  </si>
  <si>
    <t>Boxes data</t>
  </si>
  <si>
    <t>contents</t>
  </si>
  <si>
    <t>value</t>
  </si>
  <si>
    <t>0MN7</t>
  </si>
  <si>
    <t>Rocks</t>
  </si>
  <si>
    <t>4H8P</t>
  </si>
  <si>
    <t>4RT3</t>
  </si>
  <si>
    <t>Scissors</t>
  </si>
  <si>
    <t>7G3H</t>
  </si>
  <si>
    <t>8JN6</t>
  </si>
  <si>
    <t>Papers</t>
  </si>
  <si>
    <t>8Y6U</t>
  </si>
  <si>
    <t>9J6F</t>
  </si>
  <si>
    <t>LL08</t>
  </si>
  <si>
    <t>P0H6</t>
  </si>
  <si>
    <t>P2T6</t>
  </si>
  <si>
    <t>Select all boxes with a value larger than $150.</t>
  </si>
  <si>
    <t>Select all distinct contents in all the boxes.</t>
  </si>
  <si>
    <t>Select the average value of all the boxes</t>
  </si>
  <si>
    <t>Select the warehouse code and the average value of the boxes in each warehouse.</t>
  </si>
  <si>
    <t>Select the code of each box, along with the name of the city the box is located in.</t>
  </si>
  <si>
    <t>Select the warehouse codes, along with the number of boxes in each warehouse.</t>
  </si>
  <si>
    <t>Optionally, take into account that some warehouses are empty (i.e., the box count should show up as zero, instead of omitting the warehouse from the result).</t>
  </si>
  <si>
    <t>Select the codes of all warehouses that are saturated (a warehouse is saturated if the number of boxes in it is larger than the warehouse's capacity).</t>
  </si>
  <si>
    <t>The cell structure of Excel allows you to build complex queries out of simple ones, seeing intermediate results and working therefore by exploring  the data</t>
  </si>
  <si>
    <t>http://www.sofawiki.com/demo/queryfunction/pieces-and-providers</t>
  </si>
  <si>
    <t>Pieces data</t>
  </si>
  <si>
    <t>Sprocket</t>
  </si>
  <si>
    <t>Screw</t>
  </si>
  <si>
    <t>Nut</t>
  </si>
  <si>
    <t>Bolt</t>
  </si>
  <si>
    <t>Provides data</t>
  </si>
  <si>
    <t>HAL</t>
  </si>
  <si>
    <t>RBT</t>
  </si>
  <si>
    <t>TNBC</t>
  </si>
  <si>
    <t>Providers data</t>
  </si>
  <si>
    <t>Clarke Entreprises</t>
  </si>
  <si>
    <t>Susan Calvin Corp.</t>
  </si>
  <si>
    <t>Skellington Supplies</t>
  </si>
  <si>
    <t>Select the name of all the pieces</t>
  </si>
  <si>
    <t>Obtain the average price of each piece (show only the piece code and the average price).</t>
  </si>
  <si>
    <t>Obtain the names of all providers who supply piece 1.</t>
  </si>
  <si>
    <t>Select the name of pieces provided by provider with code "HAL".</t>
  </si>
  <si>
    <t>For each piece, find the most expensive offering of that piece and include the piece name, provider name, and price (note that there could be two providers who supply the same piece at the most expensive price).</t>
  </si>
  <si>
    <t>Accounts</t>
  </si>
  <si>
    <t>Journal</t>
  </si>
  <si>
    <t>Date</t>
  </si>
  <si>
    <t>Avoir</t>
  </si>
  <si>
    <t>Devoir</t>
  </si>
  <si>
    <t>Montant</t>
  </si>
  <si>
    <t>Plan comptable</t>
  </si>
  <si>
    <t>Compte</t>
  </si>
  <si>
    <t>Label</t>
  </si>
  <si>
    <t>Caisse</t>
  </si>
  <si>
    <t>Capital</t>
  </si>
  <si>
    <t>Achats</t>
  </si>
  <si>
    <t>Salaires</t>
  </si>
  <si>
    <t>Vente</t>
  </si>
  <si>
    <t>Ouverture</t>
  </si>
  <si>
    <t>Fermeture</t>
  </si>
  <si>
    <t>OUVERTURE CAISSE</t>
  </si>
  <si>
    <t>CCP</t>
  </si>
  <si>
    <t>OUVERTURE Capital</t>
  </si>
  <si>
    <t>Achat livres</t>
  </si>
  <si>
    <t>Salaire</t>
  </si>
  <si>
    <t>Vente livres</t>
  </si>
  <si>
    <t>Bilan</t>
  </si>
  <si>
    <t>PP</t>
  </si>
  <si>
    <t>This is not really relational algebra, but useful. Limit -1 does not limit)</t>
  </si>
  <si>
    <t>Rotate</t>
  </si>
  <si>
    <t>Relation for Excel</t>
  </si>
  <si>
    <t>OUVERTURE CCP</t>
  </si>
  <si>
    <t>journal data</t>
  </si>
  <si>
    <t>negative column</t>
  </si>
  <si>
    <t>left values</t>
  </si>
  <si>
    <t>right values</t>
  </si>
  <si>
    <t>journal linearized</t>
  </si>
  <si>
    <t>quick balance</t>
  </si>
  <si>
    <t>counts 1000</t>
  </si>
  <si>
    <t>counts 2000</t>
  </si>
  <si>
    <t>counts 3000</t>
  </si>
  <si>
    <t>counts 4000</t>
  </si>
  <si>
    <t>sum 1000</t>
  </si>
  <si>
    <t>sum 2000</t>
  </si>
  <si>
    <t>profit</t>
  </si>
  <si>
    <t>sum 3000</t>
  </si>
  <si>
    <t>sum 4000</t>
  </si>
  <si>
    <t>sum 3000/4000</t>
  </si>
  <si>
    <t>Intermediate calculations</t>
  </si>
  <si>
    <t>You can workaround this usin the relFilter function</t>
  </si>
  <si>
    <t>relFilter is a workaround to deal with the 32k limit of Excel. Only the end result must be less than 32k.</t>
  </si>
  <si>
    <t xml:space="preserve">A range with more than one cell will be interpreted as range. </t>
  </si>
  <si>
    <t>count of empty value 0</t>
  </si>
  <si>
    <t>Text size 32k and therefore a result can not have more than 32k characters or you have an error (use relFilter)</t>
  </si>
  <si>
    <t>Performance not tested, though it looks decent even with a lot of data</t>
  </si>
  <si>
    <t>One based row and column. Does return empty string, when out of bounds</t>
  </si>
  <si>
    <t>You can define a range without naming columns, they will get default names (c1, c2..)</t>
  </si>
  <si>
    <t>Columns are selected by name or position and preceded by dollar sign, if used as string and a percent sign, if used as number</t>
  </si>
  <si>
    <t>If you do not specify the column name, it will be automatically named.</t>
  </si>
  <si>
    <t>You can add a column with calculations based on existing columns</t>
  </si>
  <si>
    <t>Union only checks for arity, common columns and eliminates duplicates</t>
  </si>
  <si>
    <t>Duplicate column names are renamed with suffixes.</t>
  </si>
  <si>
    <t>Join is actually a theta join, use column numbers or names.</t>
  </si>
  <si>
    <t>Rename</t>
  </si>
  <si>
    <t>Intersect</t>
  </si>
  <si>
    <t>Difference also checks for arity and columns</t>
  </si>
  <si>
    <t xml:space="preserve">Rotate is not really relational algebra either, but useful, too. </t>
  </si>
  <si>
    <t>Column names are lost, and columns are automatically named, unless you want to use the first column as headers</t>
  </si>
  <si>
    <t>You can use any operators, call them by their first letter: S, P, E, U, D, I, J, R, O, R. Q is used for Rotation</t>
  </si>
  <si>
    <t>An empty string will be interpreted as relation</t>
  </si>
  <si>
    <t>A string with a newline character will be interpreted as relation</t>
  </si>
  <si>
    <t>itemid</t>
  </si>
  <si>
    <t>manid</t>
  </si>
  <si>
    <t>Special command ! cuts calculation (debugging)</t>
  </si>
  <si>
    <t>Special command # starts a comment</t>
  </si>
  <si>
    <t>Special command C selects a single cell results (shortcut to remove header) and returns a number, if different from 0</t>
  </si>
  <si>
    <t>There is a third parameter if you want to have the result to be forced to be a number</t>
  </si>
  <si>
    <t>named products</t>
  </si>
  <si>
    <t>named manufacturer</t>
  </si>
  <si>
    <t>depid</t>
  </si>
  <si>
    <t>wid</t>
  </si>
  <si>
    <t>boxid</t>
  </si>
  <si>
    <t>If you do not want to count empty values from an outer join, add a counter column before the join</t>
  </si>
  <si>
    <t>Assertion</t>
  </si>
  <si>
    <t>If the constraint is respected, the function returns true.</t>
  </si>
  <si>
    <t>If the constraint is not respected, an error with the line is returned</t>
  </si>
  <si>
    <t>The constraints can be ALL, EXISTS, UNIQUE, COLUMNS and apply to an expression on the relation</t>
  </si>
  <si>
    <t>You can use relAssertion to check integitry of relations</t>
  </si>
  <si>
    <t>employee</t>
  </si>
  <si>
    <t>manager</t>
  </si>
  <si>
    <t>Fixpoint queries</t>
  </si>
  <si>
    <t>With relFixpoint you can walk through tree or a graph of a relation.</t>
  </si>
  <si>
    <t>This is a recursive union of joins. The fixpoint column will have the initial value start and then get each time the connect column, as long as there are new values.</t>
  </si>
  <si>
    <t>The column order is forced to the initial one.</t>
  </si>
  <si>
    <t>child</t>
  </si>
  <si>
    <t>sex</t>
  </si>
  <si>
    <t>mother</t>
  </si>
  <si>
    <t>father</t>
  </si>
  <si>
    <t>Bob</t>
  </si>
  <si>
    <t>M</t>
  </si>
  <si>
    <t>Alice</t>
  </si>
  <si>
    <t>Curt</t>
  </si>
  <si>
    <t>Diana</t>
  </si>
  <si>
    <t>Elisabeth</t>
  </si>
  <si>
    <t>Frank</t>
  </si>
  <si>
    <t>Heather</t>
  </si>
  <si>
    <t>Ian</t>
  </si>
  <si>
    <t>Julie</t>
  </si>
  <si>
    <t>Karl</t>
  </si>
  <si>
    <t>departure</t>
  </si>
  <si>
    <t>destination</t>
  </si>
  <si>
    <t>from</t>
  </si>
  <si>
    <t>to</t>
  </si>
  <si>
    <t>ZRH</t>
  </si>
  <si>
    <t>GVA</t>
  </si>
  <si>
    <t>07H00</t>
  </si>
  <si>
    <t>07H30</t>
  </si>
  <si>
    <t>08H00</t>
  </si>
  <si>
    <t>08H30</t>
  </si>
  <si>
    <t>CPX</t>
  </si>
  <si>
    <t>09H30</t>
  </si>
  <si>
    <t>NIC</t>
  </si>
  <si>
    <t>09H00</t>
  </si>
  <si>
    <t>11H00</t>
  </si>
  <si>
    <t>10H00</t>
  </si>
  <si>
    <t>11H30</t>
  </si>
  <si>
    <t>pid</t>
  </si>
  <si>
    <t>eid</t>
  </si>
  <si>
    <t>ename</t>
  </si>
  <si>
    <t>pname</t>
  </si>
  <si>
    <t>Special conditions: NATURAL, LEFT, RIGHT, OUTER, LEFTSEMI, RIGHTSEMI, LEFTANTISEMI, RIGHTANTISEMI</t>
  </si>
  <si>
    <t>pid::pname::price 
1::Hard drive::240 
2::Memory::120 
3::ZIP drive::150 
4::Floppy disk::5 
5::Monitor::240 
6::DVD drive::180 
7::CD drive::90 
8::Printer::270 
9::Toner cartridge::66 
10::DVD burner::180</t>
  </si>
  <si>
    <t>eid::ename 
1::Sony 
2::Creative Labs 
3::Hewlett Packard 
4::Iomega 
5::Fujitsu 
6::Winchester</t>
  </si>
  <si>
    <t>eid::ename 
2::Creative Labs 
3::Hewlett Packard 
4::Iomega 
x::Fujitsu 
y::Winchester</t>
  </si>
  <si>
    <t>pid::pname::price 
1::Hard drive::240 
2::Memory::120 
3::ZIP drive::150</t>
  </si>
  <si>
    <t>pid::pname::price</t>
  </si>
  <si>
    <t>returns always false, so zero rows</t>
  </si>
  <si>
    <t>pid::pname::price 
2::Memory::120 
5::Monitor::240</t>
  </si>
  <si>
    <t>X not in relation, so zero rows</t>
  </si>
  <si>
    <t>#ERROR NUMERIC HEADER</t>
  </si>
  <si>
    <t>=relSelect("1::Sony";"%1&lt;4")</t>
  </si>
  <si>
    <t>pid::pname</t>
  </si>
  <si>
    <t>pid::pname 
1::Sony</t>
  </si>
  <si>
    <t>eid::ename 
2::Creative Labs 
3::Hewlett Packard 
x::Fujitsu 
y::Winchester</t>
  </si>
  <si>
    <t>eid::ename 
3::Hewlett Packard 
4::Iomega</t>
  </si>
  <si>
    <t>#ERROR CONDITION LINE  5 : =(VALUE("x")&lt;4)</t>
  </si>
  <si>
    <t>pid::pname::price 
5::Monitor::240</t>
  </si>
  <si>
    <t>pid::pname 
1::Hard drive 
2::Memory 
3::ZIP drive 
4::Floppy disk 
5::Monitor 
6::DVD drive 
7::CD drive 
8::Printer 
9::Toner cartridge 
10::DVD burner</t>
  </si>
  <si>
    <t>price::pname 
240::Hard drive 
120::Memory 
150::ZIP drive 
5::Floppy disk 
240::Monitor 
180::DVD drive 
90::CD drive 
270::Printer 
66::Toner cartridge 
180::DVD burner</t>
  </si>
  <si>
    <t>price_sum 
1541</t>
  </si>
  <si>
    <t>1_count 
0</t>
  </si>
  <si>
    <t>pid::pname::price::pid2 
1::Hard drive::240::2 
2::Memory::120::4 
3::ZIP drive::150::6 
4::Floppy disk::5::8 
5::Monitor::240::10 
6::DVD drive::180::12 
7::CD drive::90::14 
8::Printer::270::16 
9::Toner cartridge::66::18 
10::DVD burner::180::20</t>
  </si>
  <si>
    <t>#ERROR CALCULATION LINE  2 : =("Hard drive"blabla")</t>
  </si>
  <si>
    <t>#ERROR CALCULATION LINE  2 : =(1/0)</t>
  </si>
  <si>
    <t>id::blabla::c2</t>
  </si>
  <si>
    <t>pid::pname::price::c3 
1::Hard drive::240::.22 
2::Memory::120::.44 
3::ZIP drive::150::.66 
4::Floppy disk::5::.88 
5::Monitor::240::1.1 
6::DVD drive::180::1.32 
7::CD drive::90::1.54 
8::Printer::270::1.76 
9::Toner cartridge::66::1.98 
10::DVD burner::180::2.2</t>
  </si>
  <si>
    <t>eid::ename 
1::Sony 
2::Creative Labs 
3::Hewlett Packard 
4::Iomega 
5::Fujitsu 
6::Winchester 
x::Fujitsu 
y::Winchester</t>
  </si>
  <si>
    <t>#ERROR FIELD NOT MATCH foo</t>
  </si>
  <si>
    <t>foo</t>
  </si>
  <si>
    <t>eid::ename 
1::Sony 
5::Fujitsu 
6::Winchester</t>
  </si>
  <si>
    <t>#ERROR FIELD NOT MATCH Panasonic</t>
  </si>
  <si>
    <t>pid::pname::price::eid::ename 
1::Hard drive::240::1::Sony 
1::Hard drive::240::2::Creative Labs 
1::Hard drive::240::3::Hewlett Packard 
1::Hard drive::240::4::Iomega 
1::Hard drive::240::5::Fujitsu 
1::Hard drive::240::6::Winchester 
2::Memory::120::1::Sony 
2::Memory::120::2::Creative Labs 
2::Memory::120::3::Hewlett Packard 
2::Memory::120::4::Iomega 
2::Memory::120::5::Fujitsu 
2::Memory::120::6::Winchester 
3::ZIP drive::150::1::Sony 
3::ZIP drive::150::2::Creative Labs 
3::ZIP drive::150::3::Hewlett Packard 
3::ZIP drive::150::4::Iomega 
3::ZIP drive::150::5::Fujitsu 
3::ZIP drive::150::6::Winchester 
4::Floppy disk::5::1::Sony 
4::Floppy disk::5::2::Creative Labs 
4::Floppy disk::5::3::Hewlett Packard 
4::Floppy disk::5::4::Iomega 
4::Floppy disk::5::5::Fujitsu 
4::Floppy disk::5::6::Winchester 
5::Monitor::240::1::Sony 
5::Monitor::240::2::Creative Labs 
5::Monitor::240::3::Hewlett Packard 
5::Monitor::240::4::Iomega 
5::Monitor::240::5::Fujitsu 
5::Monitor::240::6::Winchester 
6::DVD drive::180::1::Sony 
6::DVD drive::180::2::Creative Labs 
6::DVD drive::180::3::Hewlett Packard 
6::DVD drive::180::4::Iomega 
6::DVD drive::180::5::Fujitsu 
6::DVD drive::180::6::Winchester 
7::CD drive::90::1::Sony 
7::CD drive::90::2::Creative Labs 
7::CD drive::90::3::Hewlett Packard 
7::CD drive::90::4::Iomega 
7::CD drive::90::5::Fujitsu 
7::CD drive::90::6::Winchester 
8::Printer::270::1::Sony 
8::Printer::270::2::Creative Labs 
8::Printer::270::3::Hewlett Packard 
8::Printer::270::4::Iomega 
8::Printer::270::5::Fujitsu 
8::Printer::270::6::Winchester 
9::Toner cartridge::66::1::Sony 
9::Toner cartridge::66::2::Creative Labs 
9::Toner cartridge::66::3::Hewlett Packard 
9::Toner cartridge::66::4::Iomega 
9::Toner cartridge::66::5::Fujitsu 
9::Toner cartridge::66::6::Winchester 
10::DVD burner::180::1::Sony 
10::DVD burner::180::2::Creative Labs 
10::DVD burner::180::3::Hewlett Packard 
10::DVD burner::180::4::Iomega 
10::DVD burner::180::5::Fujitsu 
10::DVD burner::180::6::Winchester</t>
  </si>
  <si>
    <t>pid_1::pname_1::price_1::pid_2::pname_2::price_2 
1::Hard drive::240::1::Hard drive::240 
1::Hard drive::240::2::Memory::120 
1::Hard drive::240::3::ZIP drive::150 
1::Hard drive::240::4::Floppy disk::5 
1::Hard drive::240::5::Monitor::240 
1::Hard drive::240::6::DVD drive::180 
1::Hard drive::240::7::CD drive::90 
1::Hard drive::240::8::Printer::270 
1::Hard drive::240::9::Toner cartridge::66 
1::Hard drive::240::10::DVD burner::180 
2::Memory::120::1::Hard drive::240 
2::Memory::120::2::Memory::120 
2::Memory::120::3::ZIP drive::150 
2::Memory::120::4::Floppy disk::5 
2::Memory::120::5::Monitor::240 
2::Memory::120::6::DVD drive::180 
2::Memory::120::7::CD drive::90 
2::Memory::120::8::Printer::270 
2::Memory::120::9::Toner cartridge::66 
2::Memory::120::10::DVD burner::180 
3::ZIP drive::150::1::Hard drive::240 
3::ZIP drive::150::2::Memory::120 
3::ZIP drive::150::3::ZIP drive::150 
3::ZIP drive::150::4::Floppy disk::5 
3::ZIP drive::150::5::Monitor::240 
3::ZIP drive::150::6::DVD drive::180 
3::ZIP drive::150::7::CD drive::90 
3::ZIP drive::150::8::Printer::270 
3::ZIP drive::150::9::Toner cartridge::66 
3::ZIP drive::150::10::DVD burner::180 
4::Floppy disk::5::1::Hard drive::240 
4::Floppy disk::5::2::Memory::120 
4::Floppy disk::5::3::ZIP drive::150 
4::Floppy disk::5::4::Floppy disk::5 
4::Floppy disk::5::5::Monitor::240 
4::Floppy disk::5::6::DVD drive::180 
4::Floppy disk::5::7::CD drive::90 
4::Floppy disk::5::8::Printer::270 
4::Floppy disk::5::9::Toner cartridge::66 
4::Floppy disk::5::10::DVD burner::180 
5::Monitor::240::1::Hard drive::240 
5::Monitor::240::2::Memory::120 
5::Monitor::240::3::ZIP drive::150 
5::Monitor::240::4::Floppy disk::5 
5::Monitor::240::5::Monitor::240 
5::Monitor::240::6::DVD drive::180 
5::Monitor::240::7::CD drive::90 
5::Monitor::240::8::Printer::270 
5::Monitor::240::9::Toner cartridge::66 
5::Monitor::240::10::DVD burner::180 
6::DVD drive::180::1::Hard drive::240 
6::DVD drive::180::2::Memory::120 
6::DVD drive::180::3::ZIP drive::150 
6::DVD drive::180::4::Floppy disk::5 
6::DVD drive::180::5::Monitor::240 
6::DVD drive::180::6::DVD drive::180 
6::DVD drive::180::7::CD drive::90 
6::DVD drive::180::8::Printer::270 
6::DVD drive::180::9::Toner cartridge::66 
6::DVD drive::180::10::DVD burner::180 
7::CD drive::90::1::Hard drive::240 
7::CD drive::90::2::Memory::120 
7::CD drive::90::3::ZIP drive::150 
7::CD drive::90::4::Floppy disk::5 
7::CD drive::90::5::Monitor::240 
7::CD drive::90::6::DVD drive::180 
7::CD drive::90::7::CD drive::90 
7::CD drive::90::8::Printer::270 
7::CD drive::90::9::Toner cartridge::66 
7::CD drive::90::10::DVD burner::180 
8::Printer::270::1::Hard drive::240 
8::Printer::270::2::Memory::120 
8::Printer::270::3::ZIP drive::150 
8::Printer::270::4::Floppy disk::5 
8::Printer::270::5::Monitor::240 
8::Printer::270::6::DVD drive::180 
8::Printer::270::7::CD drive::90 
8::Printer::270::8::Printer::270 
8::Printer::270::9::Toner cartridge::66 
8::Printer::270::10::DVD burner::180 
9::Toner cartridge::66::1::Hard drive::240 
9::Toner cartridge::66::2::Memory::120 
9::Toner cartridge::66::3::ZIP drive::150 
9::Toner cartridge::66::4::Floppy disk::5 
9::Toner cartridge::66::5::Monitor::240 
9::Toner cartridge::66::6::DVD drive::180 
9::Toner cartridge::66::7::CD drive::90 
9::Toner cartridge::66::8::Printer::270 
9::Toner cartridge::66::9::Toner cartridge::66 
9::Toner cartridge::66::10::DVD burner::180 
10::DVD burner::180::1::Hard drive::240 
10::DVD burner::180::2::Memory::120 
10::DVD burner::180::3::ZIP drive::150 
10::DVD burner::180::4::Floppy disk::5 
10::DVD burner::180::5::Monitor::240 
10::DVD burner::180::6::DVD drive::180 
10::DVD burner::180::7::CD drive::90 
10::DVD burner::180::8::Printer::270 
10::DVD burner::180::9::Toner cartridge::66 
10::DVD burner::180::10::DVD burner::180</t>
  </si>
  <si>
    <t>pid::pname::price::eid::ename 
1::Hard drive::240::1::Sony 
2::Memory::120::2::Creative Labs 
3::ZIP drive::150::3::Hewlett Packard 
4::Floppy disk::5::4::Iomega 
5::Monitor::240::5::Fujitsu 
6::DVD drive::180::6::Winchester</t>
  </si>
  <si>
    <t>eid::ename 
2::Creative Labs 
3::Hewlett Packard 
4::Iomega</t>
  </si>
  <si>
    <t>#ERROR CONDITION LINE  2/ 2 : =(blabla)</t>
  </si>
  <si>
    <t>pid::pname::price::eid::ename</t>
  </si>
  <si>
    <t>pid::pname::price 
8::Printer::270 
1::Hard drive::240 
5::Monitor::240 
6::DVD drive::180 
10::DVD burner::180 
3::ZIP drive::150 
2::Memory::120 
7::CD drive::90 
9::Toner cartridge::66 
4::Floppy disk::5</t>
  </si>
  <si>
    <t>#ERROR BOUNDS ROW:  1</t>
  </si>
  <si>
    <t>#ERROR BOUNDS COLUMN:  99</t>
  </si>
  <si>
    <t>#ERROR BOUNDS ROW:  99</t>
  </si>
  <si>
    <t>pid::pname
1::Sony</t>
  </si>
  <si>
    <t>The relational model is simplified. A relation is defined as a 2d-table, columns have a name (first row) but no type.</t>
  </si>
  <si>
    <t>However, neither rows nor columns are ordered (except with relOrder function) and do not have duplicates</t>
  </si>
  <si>
    <t>sum 1000/2000</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</si>
</sst>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b/>
      <sz val="12"/>
      <color rgb="FF000000"/>
      <name val="Calibri"/>
      <scheme val="minor"/>
    </font>
    <font>
      <i/>
      <sz val="12"/>
      <color theme="1"/>
      <name val="Calibri"/>
      <scheme val="minor"/>
    </font>
    <font>
      <i/>
      <sz val="12"/>
      <color rgb="FF000000"/>
      <name val="Calibri"/>
      <scheme val="minor"/>
    </font>
    <font>
      <i/>
      <sz val="12"/>
      <color theme="1"/>
      <name val="Calibri"/>
      <family val="2"/>
      <scheme val="minor"/>
    </font>
  </fonts>
  <fills count="2">
    <fill>
      <patternFill patternType="none"/>
    </fill>
    <fill>
      <patternFill patternType="gray125"/>
    </fill>
  </fills>
  <borders count="1">
    <border>
      <left/>
      <right/>
      <top/>
      <bottom/>
      <diagonal/>
    </border>
  </borders>
  <cellStyleXfs count="34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7">
    <xf numFmtId="0" fontId="0" fillId="0" borderId="0" xfId="0"/>
    <xf numFmtId="0" fontId="0" fillId="0" borderId="0" xfId="0" applyAlignment="1">
      <alignment vertical="top" wrapText="1"/>
    </xf>
    <xf numFmtId="0" fontId="3" fillId="0" borderId="0" xfId="0" applyFont="1"/>
    <xf numFmtId="0" fontId="4" fillId="0" borderId="0" xfId="0" applyFont="1" applyAlignment="1">
      <alignment vertical="top" wrapText="1"/>
    </xf>
    <xf numFmtId="0" fontId="0" fillId="0" borderId="0" xfId="0" applyFont="1"/>
    <xf numFmtId="0" fontId="1" fillId="0" borderId="0" xfId="119"/>
    <xf numFmtId="14" fontId="0" fillId="0" borderId="0" xfId="0" applyNumberFormat="1"/>
    <xf numFmtId="0" fontId="0" fillId="0" borderId="0" xfId="0" applyFill="1" applyAlignment="1">
      <alignment vertical="top" wrapText="1"/>
    </xf>
    <xf numFmtId="0" fontId="6" fillId="0" borderId="0" xfId="0" applyFont="1"/>
    <xf numFmtId="0" fontId="0" fillId="0" borderId="0" xfId="0" applyAlignment="1">
      <alignment vertical="top"/>
    </xf>
    <xf numFmtId="0" fontId="4" fillId="0" borderId="0" xfId="0" applyFont="1"/>
    <xf numFmtId="0" fontId="7" fillId="0" borderId="0" xfId="0" applyFont="1"/>
    <xf numFmtId="0" fontId="5" fillId="0" borderId="0" xfId="0" applyFont="1"/>
    <xf numFmtId="0" fontId="0" fillId="0" borderId="0" xfId="0" applyAlignment="1">
      <alignment wrapText="1"/>
    </xf>
    <xf numFmtId="0" fontId="0" fillId="0" borderId="0" xfId="0" applyAlignment="1">
      <alignment horizontal="left" vertical="top" wrapText="1"/>
    </xf>
    <xf numFmtId="0" fontId="3" fillId="0" borderId="0" xfId="0" applyFont="1" applyAlignment="1">
      <alignment wrapText="1"/>
    </xf>
    <xf numFmtId="2" fontId="0" fillId="0" borderId="0" xfId="0" applyNumberFormat="1"/>
    <xf numFmtId="0" fontId="0" fillId="0" borderId="0" xfId="0" applyAlignment="1"/>
    <xf numFmtId="0" fontId="0" fillId="0" borderId="0" xfId="0" applyFont="1" applyAlignment="1">
      <alignment vertical="top" wrapText="1"/>
    </xf>
    <xf numFmtId="14" fontId="0" fillId="0" borderId="0" xfId="0" applyNumberFormat="1" applyAlignment="1">
      <alignment horizontal="left"/>
    </xf>
    <xf numFmtId="0" fontId="3" fillId="0" borderId="0" xfId="0" applyFont="1" applyAlignment="1">
      <alignment vertical="top"/>
    </xf>
    <xf numFmtId="0" fontId="6" fillId="0" borderId="0" xfId="0" applyFont="1" applyAlignment="1">
      <alignment vertical="top" wrapText="1"/>
    </xf>
    <xf numFmtId="16" fontId="0" fillId="0" borderId="0" xfId="0" applyNumberFormat="1"/>
    <xf numFmtId="0" fontId="4" fillId="0" borderId="0" xfId="0" applyFont="1" applyAlignment="1">
      <alignment wrapText="1"/>
    </xf>
    <xf numFmtId="0" fontId="8" fillId="0" borderId="0" xfId="0" applyFont="1"/>
    <xf numFmtId="0" fontId="0" fillId="0" borderId="0" xfId="0" applyFont="1" applyAlignment="1">
      <alignment wrapText="1"/>
    </xf>
    <xf numFmtId="0" fontId="4" fillId="0" borderId="0" xfId="0" applyFont="1" applyAlignment="1"/>
  </cellXfs>
  <cellStyles count="34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tti@belle-nu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151"/>
  <sheetViews>
    <sheetView tabSelected="1" showRuler="0" topLeftCell="A126" zoomScale="81" zoomScaleNormal="81" zoomScalePageLayoutView="81" workbookViewId="0">
      <selection activeCell="H31" sqref="H31"/>
    </sheetView>
  </sheetViews>
  <sheetFormatPr baseColWidth="10" defaultRowHeight="15" x14ac:dyDescent="0"/>
  <cols>
    <col min="4" max="4" width="49.6640625" customWidth="1"/>
    <col min="7" max="7" width="58.6640625" customWidth="1"/>
    <col min="8" max="8" width="30.33203125" customWidth="1"/>
    <col min="9" max="9" width="30.5" customWidth="1"/>
  </cols>
  <sheetData>
    <row r="1" spans="1:9">
      <c r="A1" s="2" t="s">
        <v>231</v>
      </c>
    </row>
    <row r="2" spans="1:9">
      <c r="A2" s="10" t="s">
        <v>19</v>
      </c>
    </row>
    <row r="3" spans="1:9">
      <c r="A3" s="10" t="s">
        <v>373</v>
      </c>
    </row>
    <row r="4" spans="1:9">
      <c r="A4" s="10" t="s">
        <v>374</v>
      </c>
    </row>
    <row r="5" spans="1:9">
      <c r="A5" s="10" t="s">
        <v>25</v>
      </c>
    </row>
    <row r="6" spans="1:9">
      <c r="A6" s="10" t="s">
        <v>26</v>
      </c>
    </row>
    <row r="7" spans="1:9">
      <c r="A7" s="10" t="s">
        <v>31</v>
      </c>
    </row>
    <row r="8" spans="1:9">
      <c r="A8" s="10" t="s">
        <v>250</v>
      </c>
    </row>
    <row r="10" spans="1:9">
      <c r="A10" t="s">
        <v>20</v>
      </c>
    </row>
    <row r="12" spans="1:9">
      <c r="A12" s="2" t="s">
        <v>22</v>
      </c>
      <c r="C12" s="2" t="s">
        <v>23</v>
      </c>
      <c r="D12" s="2"/>
      <c r="F12" s="2" t="s">
        <v>24</v>
      </c>
      <c r="G12" s="2"/>
    </row>
    <row r="13" spans="1:9">
      <c r="C13" t="s">
        <v>0</v>
      </c>
      <c r="D13" t="s">
        <v>1</v>
      </c>
      <c r="F13" t="s">
        <v>0</v>
      </c>
      <c r="G13" t="s">
        <v>1</v>
      </c>
      <c r="H13" t="s">
        <v>7</v>
      </c>
      <c r="I13" t="s">
        <v>8</v>
      </c>
    </row>
    <row r="14" spans="1:9">
      <c r="C14">
        <v>1</v>
      </c>
      <c r="D14" t="s">
        <v>2</v>
      </c>
      <c r="F14">
        <v>1</v>
      </c>
      <c r="G14" t="s">
        <v>9</v>
      </c>
      <c r="H14">
        <v>240</v>
      </c>
      <c r="I14">
        <v>5</v>
      </c>
    </row>
    <row r="15" spans="1:9">
      <c r="C15">
        <v>2</v>
      </c>
      <c r="D15" t="s">
        <v>3</v>
      </c>
      <c r="F15">
        <v>2</v>
      </c>
      <c r="G15" t="s">
        <v>10</v>
      </c>
      <c r="H15">
        <v>120</v>
      </c>
      <c r="I15">
        <v>6</v>
      </c>
    </row>
    <row r="16" spans="1:9">
      <c r="C16">
        <v>3</v>
      </c>
      <c r="D16" t="s">
        <v>4</v>
      </c>
      <c r="F16">
        <v>3</v>
      </c>
      <c r="G16" t="s">
        <v>11</v>
      </c>
      <c r="H16">
        <v>150</v>
      </c>
      <c r="I16">
        <v>4</v>
      </c>
    </row>
    <row r="17" spans="1:10">
      <c r="C17">
        <v>4</v>
      </c>
      <c r="D17" t="s">
        <v>21</v>
      </c>
      <c r="F17">
        <v>4</v>
      </c>
      <c r="G17" t="s">
        <v>12</v>
      </c>
      <c r="H17">
        <v>5</v>
      </c>
      <c r="I17">
        <v>6</v>
      </c>
    </row>
    <row r="18" spans="1:10">
      <c r="C18">
        <v>5</v>
      </c>
      <c r="D18" t="s">
        <v>5</v>
      </c>
      <c r="F18">
        <v>5</v>
      </c>
      <c r="G18" t="s">
        <v>13</v>
      </c>
      <c r="H18">
        <v>240</v>
      </c>
      <c r="I18">
        <v>1</v>
      </c>
    </row>
    <row r="19" spans="1:10">
      <c r="C19">
        <v>6</v>
      </c>
      <c r="D19" t="s">
        <v>6</v>
      </c>
      <c r="F19">
        <v>6</v>
      </c>
      <c r="G19" t="s">
        <v>14</v>
      </c>
      <c r="H19">
        <v>180</v>
      </c>
      <c r="I19">
        <v>2</v>
      </c>
    </row>
    <row r="20" spans="1:10">
      <c r="F20">
        <v>7</v>
      </c>
      <c r="G20" t="s">
        <v>15</v>
      </c>
      <c r="H20">
        <v>90</v>
      </c>
      <c r="I20">
        <v>2</v>
      </c>
    </row>
    <row r="21" spans="1:10">
      <c r="F21">
        <v>8</v>
      </c>
      <c r="G21" t="s">
        <v>16</v>
      </c>
      <c r="H21">
        <v>270</v>
      </c>
      <c r="I21">
        <v>3</v>
      </c>
    </row>
    <row r="22" spans="1:10">
      <c r="F22">
        <v>9</v>
      </c>
      <c r="G22" t="s">
        <v>17</v>
      </c>
      <c r="H22">
        <v>66</v>
      </c>
      <c r="I22">
        <v>3</v>
      </c>
    </row>
    <row r="23" spans="1:10">
      <c r="F23">
        <v>10</v>
      </c>
      <c r="G23" t="s">
        <v>18</v>
      </c>
      <c r="H23">
        <v>180</v>
      </c>
      <c r="I23">
        <v>2</v>
      </c>
    </row>
    <row r="25" spans="1:10">
      <c r="A25" s="2" t="s">
        <v>27</v>
      </c>
      <c r="D25" s="2" t="e">
        <f ca="1">_1__xlfn.FORMULATEXT(D26)</f>
        <v>#NAME?</v>
      </c>
      <c r="G25" s="2" t="e">
        <f ca="1">_1__xlfn.FORMULATEXT(G26)</f>
        <v>#NAME?</v>
      </c>
      <c r="H25" s="2" t="e">
        <f ca="1">_1__xlfn.FORMULATEXT(H26)</f>
        <v>#NAME?</v>
      </c>
      <c r="J25" s="2"/>
    </row>
    <row r="26" spans="1:10" ht="156" customHeight="1">
      <c r="D26" s="1" t="str">
        <f>relRange(C13:D19)</f>
        <v>code::name _x000D_
1::Sony _x000D_
2::Creative Labs _x000D_
3::Hewlett Packard _x000D_
4::Iomega _x000D_
5::Fujitsu _x000D_
6::Winchester</v>
      </c>
      <c r="G26" s="1" t="str">
        <f>relRange(F13:I23)</f>
        <v>code::name::price::manufacturer _x000D_
1::Hard drive::240::5 _x000D_
2::Memory::120::6 _x000D_
3::ZIP drive::150::4 _x000D_
4::Floppy disk::5::6 _x000D_
5::Monitor::240::1 _x000D_
6::DVD drive::180::2 _x000D_
7::CD drive::90::2 _x000D_
8::Printer::270::3 _x000D_
9::Toner cartridge::66::3 _x000D_
10::DVD burner::180::2</v>
      </c>
      <c r="H26" s="13" t="str">
        <f>relRange(F14:I23, 0)</f>
        <v>c1::c2::c3::c4 _x000D_
1::Hard drive::240::5 _x000D_
2::Memory::120::6 _x000D_
3::ZIP drive::150::4 _x000D_
4::Floppy disk::5::6 _x000D_
5::Monitor::240::1 _x000D_
6::DVD drive::180::2 _x000D_
7::CD drive::90::2 _x000D_
8::Printer::270::3 _x000D_
9::Toner cartridge::66::3</v>
      </c>
    </row>
    <row r="27" spans="1:10">
      <c r="A27" s="4" t="s">
        <v>28</v>
      </c>
    </row>
    <row r="28" spans="1:10">
      <c r="A28" t="s">
        <v>257</v>
      </c>
    </row>
    <row r="30" spans="1:10">
      <c r="A30" s="2" t="s">
        <v>29</v>
      </c>
      <c r="D30" s="2" t="e">
        <f ca="1">_1__xlfn.FORMULATEXT(D31)</f>
        <v>#NAME?</v>
      </c>
      <c r="G30" s="2" t="e">
        <f ca="1">_1__xlfn.FORMULATEXT(G31)</f>
        <v>#NAME?</v>
      </c>
      <c r="H30" s="2" t="e">
        <f ca="1">_1__xlfn.FORMULATEXT(H31)</f>
        <v>#NAME?</v>
      </c>
    </row>
    <row r="31" spans="1:10" ht="62.5">
      <c r="D31" s="1" t="str">
        <f>relSelect(D26, "%code&gt;3")</f>
        <v>code::name _x000D_
4::Iomega _x000D_
5::Fujitsu _x000D_
6::Winchester</v>
      </c>
      <c r="G31" s="1" t="str">
        <f>relSelect(G26, "LEFT($name)=""M""")</f>
        <v>code::name::price::manufacturer _x000D_
2::Memory::120::6 _x000D_
5::Monitor::240::1</v>
      </c>
      <c r="H31" s="1" t="str">
        <f>relSelect(G26, "LEFT($2)=""T""")</f>
        <v>code::name::price::manufacturer _x000D_
9::Toner cartridge::66::3</v>
      </c>
    </row>
    <row r="32" spans="1:10">
      <c r="A32" t="s">
        <v>258</v>
      </c>
    </row>
    <row r="33" spans="1:8">
      <c r="A33" t="s">
        <v>62</v>
      </c>
    </row>
    <row r="35" spans="1:8">
      <c r="A35" s="2" t="s">
        <v>30</v>
      </c>
      <c r="D35" s="2" t="e">
        <f ca="1">_1__xlfn.FORMULATEXT(D36)</f>
        <v>#NAME?</v>
      </c>
      <c r="E35" s="2" t="e">
        <f ca="1">_1__xlfn.FORMULATEXT(E36)</f>
        <v>#NAME?</v>
      </c>
      <c r="G35" s="2" t="e">
        <f ca="1">_1__xlfn.FORMULATEXT(G36)</f>
        <v>#NAME?</v>
      </c>
      <c r="H35" s="2" t="e">
        <f ca="1">_1__xlfn.FORMULATEXT(H36)</f>
        <v>#NAME?</v>
      </c>
    </row>
    <row r="36" spans="1:8" ht="161" customHeight="1">
      <c r="D36" s="1" t="str">
        <f>relProject(D26,"code")</f>
        <v>code _x000D_
1 _x000D_
2 _x000D_
3 _x000D_
4 _x000D_
5 _x000D_
6</v>
      </c>
      <c r="E36" s="14" t="str">
        <f>relProject(D26, "2")</f>
        <v>name _x000D_
Sony _x000D_
Creative Labs _x000D_
Hewlett Packard _x000D_
Iomega _x000D_
Fujitsu _x000D_
Winchester</v>
      </c>
      <c r="G36" s="1" t="str">
        <f>relProject(G26, "name::price")</f>
        <v>name::price _x000D_
Hard drive::240 _x000D_
Memory::120 _x000D_
ZIP drive::150 _x000D_
Floppy disk::5 _x000D_
Monitor::240 _x000D_
DVD drive::180 _x000D_
CD drive::90 _x000D_
Printer::270 _x000D_
Toner cartridge::66 _x000D_
DVD burner::180</v>
      </c>
      <c r="H36" s="1" t="str">
        <f>relProject(G31, "price SUM")</f>
        <v>price_sum _x000D_
360</v>
      </c>
    </row>
    <row r="37" spans="1:8">
      <c r="A37" t="s">
        <v>82</v>
      </c>
    </row>
    <row r="39" spans="1:8">
      <c r="A39" s="2" t="s">
        <v>32</v>
      </c>
      <c r="D39" s="2" t="e">
        <f ca="1">_1__xlfn.FORMULATEXT(D40)</f>
        <v>#NAME?</v>
      </c>
      <c r="G39" s="2" t="e">
        <f ca="1">_1__xlfn.FORMULATEXT(G40)</f>
        <v>#NAME?</v>
      </c>
    </row>
    <row r="40" spans="1:8" ht="146" customHeight="1">
      <c r="D40" s="1" t="str">
        <f>relExtend(D36,"%code*2","name")</f>
        <v>code::name _x000D_
1::2 _x000D_
2::4 _x000D_
3::6 _x000D_
4::8 _x000D_
5::10 _x000D_
6::12</v>
      </c>
      <c r="G40" s="1" t="str">
        <f>relExtend(G36,"LEFT($name,1)")</f>
        <v>name::price::c2 _x000D_
Hard drive::240::H _x000D_
Memory::120::M _x000D_
ZIP drive::150::Z _x000D_
Floppy disk::5::F _x000D_
Monitor::240::M _x000D_
DVD drive::180::D _x000D_
CD drive::90::C _x000D_
Printer::270::P _x000D_
Toner cartridge::66::T _x000D_
DVD burner::180::D</v>
      </c>
    </row>
    <row r="41" spans="1:8">
      <c r="A41" t="s">
        <v>260</v>
      </c>
    </row>
    <row r="42" spans="1:8">
      <c r="A42" t="s">
        <v>259</v>
      </c>
    </row>
    <row r="43" spans="1:8">
      <c r="A43" s="2" t="s">
        <v>264</v>
      </c>
      <c r="D43" s="2" t="e">
        <f ca="1">_1__xlfn.FORMULATEXT(D44)</f>
        <v>#NAME?</v>
      </c>
      <c r="G43" s="2" t="e">
        <f ca="1">_1__xlfn.FORMULATEXT(G44)</f>
        <v>#NAME?</v>
      </c>
    </row>
    <row r="44" spans="1:8" ht="171.5">
      <c r="D44" s="1" t="str">
        <f>relRename(D40,"code cd::name nm")</f>
        <v>cd::nm _x000D_
1::2 _x000D_
2::4 _x000D_
3::6 _x000D_
4::8 _x000D_
5::10 _x000D_
6::12</v>
      </c>
      <c r="G44" s="13" t="str">
        <f>relRename(G40,"code cd::2 nm")</f>
        <v>name::nm::c2 _x000D_
Hard drive::240::H _x000D_
Memory::120::M _x000D_
ZIP drive::150::Z _x000D_
Floppy disk::5::F _x000D_
Monitor::240::M _x000D_
DVD drive::180::D _x000D_
CD drive::90::C _x000D_
Printer::270::P _x000D_
Toner cartridge::66::T _x000D_
DVD burner::180::D</v>
      </c>
    </row>
    <row r="46" spans="1:8">
      <c r="A46" s="2" t="s">
        <v>33</v>
      </c>
      <c r="D46" s="2" t="e">
        <f ca="1">_1__xlfn.FORMULATEXT(D47)</f>
        <v>#NAME?</v>
      </c>
      <c r="G46" s="2" t="e">
        <f ca="1">_1__xlfn.FORMULATEXT(G47)</f>
        <v>#NAME?</v>
      </c>
    </row>
    <row r="47" spans="1:8" ht="181" customHeight="1">
      <c r="D47" s="1" t="str">
        <f>relUnion(D26,D40)</f>
        <v>code::name _x000D_
1::Sony _x000D_
2::Creative Labs _x000D_
3::Hewlett Packard _x000D_
4::Iomega _x000D_
5::Fujitsu _x000D_
6::Winchester _x000D_
1::2 _x000D_
2::4 _x000D_
3::6 _x000D_
4::8 _x000D_
5::10 _x000D_
6::12</v>
      </c>
      <c r="G47" s="1" t="str">
        <f>relUnion(H31,G31)</f>
        <v>code::name::price::manufacturer _x000D_
9::Toner cartridge::66::3 _x000D_
2::Memory::120::6 _x000D_
5::Monitor::240::1</v>
      </c>
    </row>
    <row r="48" spans="1:8">
      <c r="A48" t="s">
        <v>261</v>
      </c>
    </row>
    <row r="50" spans="1:9">
      <c r="A50" s="2" t="s">
        <v>34</v>
      </c>
      <c r="D50" s="2" t="e">
        <f ca="1">_1__xlfn.FORMULATEXT(D51)</f>
        <v>#NAME?</v>
      </c>
      <c r="G50" s="2" t="e">
        <f ca="1">_1__xlfn.FORMULATEXT(G51)</f>
        <v>#NAME?</v>
      </c>
    </row>
    <row r="51" spans="1:9" ht="95" customHeight="1">
      <c r="D51" s="1" t="str">
        <f>reldifference(D47,D40)</f>
        <v>code::name _x000D_
1::Sony _x000D_
2::Creative Labs _x000D_
3::Hewlett Packard _x000D_
4::Iomega _x000D_
5::Fujitsu _x000D_
6::Winchester</v>
      </c>
      <c r="G51" s="1" t="str">
        <f>reldifference(G26,G47)</f>
        <v>code::name::price::manufacturer _x000D_
1::Hard drive::240::5 _x000D_
3::ZIP drive::150::4 _x000D_
4::Floppy disk::5::6 _x000D_
6::DVD drive::180::2 _x000D_
7::CD drive::90::2 _x000D_
8::Printer::270::3 _x000D_
10::DVD burner::180::2</v>
      </c>
    </row>
    <row r="52" spans="1:9">
      <c r="A52" t="s">
        <v>266</v>
      </c>
    </row>
    <row r="54" spans="1:9">
      <c r="A54" s="2" t="s">
        <v>265</v>
      </c>
      <c r="D54" s="2" t="e">
        <f ca="1">_1__xlfn.FORMULATEXT(D55)</f>
        <v>#NAME?</v>
      </c>
    </row>
    <row r="55" spans="1:9" ht="145.25" customHeight="1">
      <c r="D55" s="14" t="str">
        <f>relIntersect(D47,D51)</f>
        <v>code::name _x000D_
1::Sony _x000D_
2::Creative Labs _x000D_
3::Hewlett Packard _x000D_
4::Iomega _x000D_
5::Fujitsu _x000D_
6::Winchester</v>
      </c>
    </row>
    <row r="57" spans="1:9">
      <c r="A57" s="2" t="s">
        <v>35</v>
      </c>
      <c r="D57" s="2" t="e">
        <f ca="1">_1__xlfn.FORMULATEXT(D58)</f>
        <v>#NAME?</v>
      </c>
      <c r="G57" s="2" t="e">
        <f ca="1">_1__xlfn.FORMULATEXT(G58)</f>
        <v>#NAME?</v>
      </c>
      <c r="H57" s="2" t="e">
        <f ca="1">_1__xlfn.FORMULATEXT(H58)</f>
        <v>#NAME?</v>
      </c>
      <c r="I57" s="2" t="e">
        <f ca="1">_1__xlfn.FORMULATEXT(I58)</f>
        <v>#NAME?</v>
      </c>
    </row>
    <row r="58" spans="1:9" ht="172" customHeight="1">
      <c r="D58" s="1" t="str">
        <f>relJoin(D26,G26,"%1=%6")</f>
        <v>code_1::name_1::code_2::name_2::price::manufacturer _x000D_
1::Sony::5::Monitor::240::1 _x000D_
2::Creative Labs::6::DVD drive::180::2 _x000D_
2::Creative Labs::7::CD drive::90::2 _x000D_
2::Creative Labs::10::DVD burner::180::2 _x000D_
3::Hewlett Packard::8::Printer::270::3 _x000D_
3::Hewlett Packard::9::Toner cartridge::66::3 _x000D_
4::Iomega::3::ZIP drive::150::4 _x000D_
5::Fujitsu::1::Hard drive::240::5 _x000D_
6::Winchester::2::Memory::120::6 _x000D_
6::Winchester::4::Floppy disk::5::6</v>
      </c>
      <c r="G58" s="3" t="str">
        <f>relJoin(H58,I58,"NATURAL")</f>
        <v>manufacturer::manufacturerlabel::code::name::price _x000D_
2::Creative Labs::6::DVD drive::180 _x000D_
2::Creative Labs::7::CD drive::90 _x000D_
2::Creative Labs::10::DVD burner::180 _x000D_
3::Hewlett Packard::8::Printer::270 _x000D_
3::Hewlett Packard::9::Toner cartridge::66</v>
      </c>
      <c r="H58" s="1" t="str">
        <f>relRename(D26,"name manufacturerlabel::code manufacturer")</f>
        <v>manufacturer::manufacturerlabel _x000D_
1::Sony _x000D_
2::Creative Labs _x000D_
3::Hewlett Packard _x000D_
4::Iomega _x000D_
5::Fujitsu _x000D_
6::Winchester</v>
      </c>
      <c r="I58" s="1" t="str">
        <f>relSelect(G26,"%code&gt;5")</f>
        <v>code::name::price::manufacturer _x000D_
6::DVD drive::180::2 _x000D_
7::CD drive::90::2 _x000D_
8::Printer::270::3 _x000D_
9::Toner cartridge::66::3 _x000D_
10::DVD burner::180::2</v>
      </c>
    </row>
    <row r="59" spans="1:9">
      <c r="A59" t="s">
        <v>263</v>
      </c>
      <c r="G59" s="3"/>
    </row>
    <row r="60" spans="1:9">
      <c r="A60" t="s">
        <v>262</v>
      </c>
      <c r="G60" s="3"/>
    </row>
    <row r="61" spans="1:9">
      <c r="A61" t="s">
        <v>331</v>
      </c>
      <c r="G61" s="3"/>
    </row>
    <row r="62" spans="1:9">
      <c r="A62" t="s">
        <v>36</v>
      </c>
      <c r="G62" s="3"/>
    </row>
    <row r="63" spans="1:9">
      <c r="A63" t="s">
        <v>37</v>
      </c>
      <c r="G63" s="3"/>
    </row>
    <row r="64" spans="1:9">
      <c r="G64" s="3"/>
    </row>
    <row r="65" spans="1:7">
      <c r="A65" s="2" t="s">
        <v>58</v>
      </c>
      <c r="D65" s="2" t="e">
        <f ca="1">_1__xlfn.FORMULATEXT(D66)</f>
        <v>#NAME?</v>
      </c>
      <c r="G65" s="2" t="e">
        <f ca="1">_1__xlfn.FORMULATEXT(G66)</f>
        <v>#NAME?</v>
      </c>
    </row>
    <row r="66" spans="1:7" ht="139" customHeight="1">
      <c r="D66" s="1" t="str">
        <f>relOrder(D58,"name_1 A::name_2 A")</f>
        <v>code_1::name_1::code_2::name_2::price::manufacturer _x000D_
2::Creative Labs::6::DVD drive::180::2 _x000D_
2::Creative Labs::7::CD drive::90::2 _x000D_
2::Creative Labs::10::DVD burner::180::2 _x000D_
5::Fujitsu::1::Hard drive::240::5 _x000D_
3::Hewlett Packard::8::Printer::270::3 _x000D_
3::Hewlett Packard::9::Toner cartridge::66::3 _x000D_
4::Iomega::3::ZIP drive::150::4 _x000D_
1::Sony::5::Monitor::240::1 _x000D_
6::Winchester::2::Memory::120::6 _x000D_
6::Winchester::4::Floppy disk::5::6</v>
      </c>
      <c r="G66" s="1" t="str">
        <f>relOrder(D58,"price 9")</f>
        <v>code_1::name_1::code_2::name_2::price::manufacturer _x000D_
3::Hewlett Packard::8::Printer::270::3 _x000D_
1::Sony::5::Monitor::240::1 _x000D_
5::Fujitsu::1::Hard drive::240::5 _x000D_
2::Creative Labs::6::DVD drive::180::2 _x000D_
2::Creative Labs::10::DVD burner::180::2 _x000D_
4::Iomega::3::ZIP drive::150::4 _x000D_
6::Winchester::2::Memory::120::6 _x000D_
2::Creative Labs::7::CD drive::90::2 _x000D_
3::Hewlett Packard::9::Toner cartridge::66::3 _x000D_
6::Winchester::4::Floppy disk::5::6</v>
      </c>
    </row>
    <row r="67" spans="1:7">
      <c r="A67" t="s">
        <v>59</v>
      </c>
      <c r="G67" s="3"/>
    </row>
    <row r="68" spans="1:7">
      <c r="A68" t="s">
        <v>60</v>
      </c>
      <c r="G68" s="3"/>
    </row>
    <row r="69" spans="1:7">
      <c r="A69" t="s">
        <v>61</v>
      </c>
      <c r="G69" s="3"/>
    </row>
    <row r="70" spans="1:7">
      <c r="G70" s="3"/>
    </row>
    <row r="71" spans="1:7">
      <c r="A71" s="2" t="s">
        <v>152</v>
      </c>
      <c r="D71" s="2" t="e">
        <f ca="1">_1__xlfn.FORMULATEXT(D72)</f>
        <v>#NAME?</v>
      </c>
      <c r="G71" s="3"/>
    </row>
    <row r="72" spans="1:7" ht="53.5" customHeight="1">
      <c r="D72" s="1" t="str">
        <f>relLimit(D66,6,2)</f>
        <v>code_1::name_1::code_2::name_2::price::manufacturer _x000D_
3::Hewlett Packard::9::Toner cartridge::66::3 _x000D_
4::Iomega::3::ZIP drive::150::4</v>
      </c>
      <c r="G72" s="3"/>
    </row>
    <row r="73" spans="1:7">
      <c r="A73" t="s">
        <v>229</v>
      </c>
      <c r="D73" s="13"/>
      <c r="G73" s="3"/>
    </row>
    <row r="74" spans="1:7">
      <c r="G74" s="3"/>
    </row>
    <row r="75" spans="1:7">
      <c r="A75" s="2" t="s">
        <v>38</v>
      </c>
      <c r="D75" s="2" t="e">
        <f ca="1">_1__xlfn.FORMULATEXT(D76)</f>
        <v>#NAME?</v>
      </c>
      <c r="E75" s="2" t="e">
        <f ca="1">_1__xlfn.FORMULATEXT(E76)</f>
        <v>#NAME?</v>
      </c>
      <c r="G75" s="2" t="e">
        <f ca="1">_1__xlfn.FORMULATEXT(G76)</f>
        <v>#NAME?</v>
      </c>
    </row>
    <row r="76" spans="1:7" ht="46.75">
      <c r="D76" t="str">
        <f>relCell(D66,1,2)</f>
        <v>Creative Labs</v>
      </c>
      <c r="E76" s="3" t="str">
        <f>relCell(G66,1,1)</f>
        <v>3</v>
      </c>
      <c r="G76" s="3">
        <f>relCell(G66,1,1,1)</f>
        <v>3</v>
      </c>
    </row>
    <row r="77" spans="1:7">
      <c r="A77" t="s">
        <v>256</v>
      </c>
    </row>
    <row r="78" spans="1:7">
      <c r="A78" t="s">
        <v>277</v>
      </c>
    </row>
    <row r="79" spans="1:7">
      <c r="A79" t="s">
        <v>104</v>
      </c>
    </row>
    <row r="81" spans="1:7">
      <c r="D81" s="2" t="str">
        <f>"=relCellArray(D59)"</f>
        <v>=relCellArray(D59)</v>
      </c>
    </row>
    <row r="82" spans="1:7">
      <c r="D82" t="str">
        <f t="array" ref="D82:G94">relCellArray(D66)</f>
        <v>code_1</v>
      </c>
      <c r="E82" t="str">
        <v>name_1</v>
      </c>
      <c r="F82" t="str">
        <v>code_2</v>
      </c>
      <c r="G82" t="str">
        <v>name_2</v>
      </c>
    </row>
    <row r="83" spans="1:7">
      <c r="D83" t="str">
        <v>2</v>
      </c>
      <c r="E83" t="str">
        <v>Creative Labs</v>
      </c>
      <c r="F83" t="str">
        <v>6</v>
      </c>
      <c r="G83" t="str">
        <v>DVD drive</v>
      </c>
    </row>
    <row r="84" spans="1:7">
      <c r="D84" t="str">
        <v>2</v>
      </c>
      <c r="E84" t="str">
        <v>Creative Labs</v>
      </c>
      <c r="F84" t="str">
        <v>7</v>
      </c>
      <c r="G84" t="str">
        <v>CD drive</v>
      </c>
    </row>
    <row r="85" spans="1:7">
      <c r="D85" t="str">
        <v>2</v>
      </c>
      <c r="E85" t="str">
        <v>Creative Labs</v>
      </c>
      <c r="F85" t="str">
        <v>10</v>
      </c>
      <c r="G85" t="str">
        <v>DVD burner</v>
      </c>
    </row>
    <row r="86" spans="1:7">
      <c r="D86" t="str">
        <v>5</v>
      </c>
      <c r="E86" t="str">
        <v>Fujitsu</v>
      </c>
      <c r="F86" t="str">
        <v>1</v>
      </c>
      <c r="G86" t="str">
        <v>Hard drive</v>
      </c>
    </row>
    <row r="87" spans="1:7">
      <c r="D87" t="str">
        <v>3</v>
      </c>
      <c r="E87" t="str">
        <v>Hewlett Packard</v>
      </c>
      <c r="F87" t="str">
        <v>8</v>
      </c>
      <c r="G87" t="str">
        <v>Printer</v>
      </c>
    </row>
    <row r="88" spans="1:7">
      <c r="D88" t="str">
        <v>3</v>
      </c>
      <c r="E88" t="str">
        <v>Hewlett Packard</v>
      </c>
      <c r="F88" t="str">
        <v>9</v>
      </c>
      <c r="G88" t="str">
        <v>Toner cartridge</v>
      </c>
    </row>
    <row r="89" spans="1:7">
      <c r="D89" t="str">
        <v>4</v>
      </c>
      <c r="E89" t="str">
        <v>Iomega</v>
      </c>
      <c r="F89" t="str">
        <v>3</v>
      </c>
      <c r="G89" t="str">
        <v>ZIP drive</v>
      </c>
    </row>
    <row r="90" spans="1:7">
      <c r="D90" t="str">
        <v>1</v>
      </c>
      <c r="E90" t="str">
        <v>Sony</v>
      </c>
      <c r="F90" t="str">
        <v>5</v>
      </c>
      <c r="G90" t="str">
        <v>Monitor</v>
      </c>
    </row>
    <row r="91" spans="1:7">
      <c r="D91" t="str">
        <v>6</v>
      </c>
      <c r="E91" t="str">
        <v>Winchester</v>
      </c>
      <c r="F91" t="str">
        <v>2</v>
      </c>
      <c r="G91" t="str">
        <v>Memory</v>
      </c>
    </row>
    <row r="92" spans="1:7">
      <c r="D92" t="str">
        <v>6</v>
      </c>
      <c r="E92" t="str">
        <v>Winchester</v>
      </c>
      <c r="F92" t="str">
        <v>4</v>
      </c>
      <c r="G92" t="str">
        <v>Floppy disk</v>
      </c>
    </row>
    <row r="93" spans="1:7">
      <c r="D93" t="str">
        <v/>
      </c>
      <c r="E93" t="str">
        <v/>
      </c>
      <c r="F93" t="str">
        <v/>
      </c>
      <c r="G93" t="str">
        <v/>
      </c>
    </row>
    <row r="94" spans="1:7">
      <c r="D94" t="str">
        <v/>
      </c>
      <c r="E94" t="str">
        <v/>
      </c>
      <c r="F94" t="str">
        <v/>
      </c>
      <c r="G94" t="str">
        <v/>
      </c>
    </row>
    <row r="96" spans="1:7">
      <c r="A96" s="2" t="s">
        <v>63</v>
      </c>
      <c r="C96" t="s">
        <v>65</v>
      </c>
      <c r="D96" t="s">
        <v>68</v>
      </c>
      <c r="E96" s="2" t="str">
        <f>"=relLike(C70;D70)"</f>
        <v>=relLike(C70;D70)</v>
      </c>
    </row>
    <row r="97" spans="1:7">
      <c r="C97" t="s">
        <v>64</v>
      </c>
      <c r="D97" t="s">
        <v>64</v>
      </c>
      <c r="E97" t="b">
        <f t="shared" ref="E97:E106" si="0">relLike(C97,D97)</f>
        <v>1</v>
      </c>
      <c r="G97" t="b">
        <f>relLike("Hard drive","*ve")</f>
        <v>1</v>
      </c>
    </row>
    <row r="98" spans="1:7">
      <c r="C98" t="s">
        <v>64</v>
      </c>
      <c r="D98" t="s">
        <v>66</v>
      </c>
      <c r="E98" t="b">
        <f t="shared" si="0"/>
        <v>0</v>
      </c>
    </row>
    <row r="99" spans="1:7">
      <c r="C99" t="s">
        <v>64</v>
      </c>
      <c r="D99" t="s">
        <v>67</v>
      </c>
      <c r="E99" t="b">
        <f t="shared" si="0"/>
        <v>0</v>
      </c>
    </row>
    <row r="100" spans="1:7">
      <c r="C100" t="s">
        <v>69</v>
      </c>
      <c r="D100" t="s">
        <v>70</v>
      </c>
      <c r="E100" t="b">
        <f t="shared" si="0"/>
        <v>1</v>
      </c>
    </row>
    <row r="101" spans="1:7">
      <c r="C101" t="s">
        <v>64</v>
      </c>
      <c r="D101" t="s">
        <v>71</v>
      </c>
      <c r="E101" t="b">
        <f t="shared" si="0"/>
        <v>1</v>
      </c>
    </row>
    <row r="102" spans="1:7">
      <c r="C102" t="s">
        <v>64</v>
      </c>
      <c r="D102" t="s">
        <v>72</v>
      </c>
      <c r="E102" t="b">
        <f t="shared" si="0"/>
        <v>0</v>
      </c>
    </row>
    <row r="103" spans="1:7">
      <c r="C103" t="s">
        <v>73</v>
      </c>
      <c r="D103" t="s">
        <v>74</v>
      </c>
      <c r="E103" t="b">
        <f t="shared" si="0"/>
        <v>1</v>
      </c>
    </row>
    <row r="104" spans="1:7">
      <c r="C104" t="s">
        <v>75</v>
      </c>
      <c r="D104" t="s">
        <v>76</v>
      </c>
      <c r="E104" t="b">
        <f t="shared" si="0"/>
        <v>1</v>
      </c>
    </row>
    <row r="105" spans="1:7">
      <c r="C105" t="s">
        <v>77</v>
      </c>
      <c r="D105" t="s">
        <v>78</v>
      </c>
      <c r="E105" t="b">
        <f t="shared" si="0"/>
        <v>1</v>
      </c>
    </row>
    <row r="106" spans="1:7">
      <c r="C106" t="s">
        <v>79</v>
      </c>
      <c r="D106" t="s">
        <v>78</v>
      </c>
      <c r="E106" t="b">
        <f t="shared" si="0"/>
        <v>0</v>
      </c>
    </row>
    <row r="107" spans="1:7" ht="13.75" customHeight="1">
      <c r="D107" s="20" t="e">
        <f ca="1">_1__xlfn.FORMULATEXT(D108)</f>
        <v>#NAME?</v>
      </c>
    </row>
    <row r="108" spans="1:7" ht="96.5" customHeight="1">
      <c r="D108" s="1" t="str">
        <f>relSelect(G26,"relLike($2,""*ve"")")</f>
        <v>code::name::price::manufacturer _x000D_
1::Hard drive::240::5 _x000D_
3::ZIP drive::150::4 _x000D_
6::DVD drive::180::2 _x000D_
7::CD drive::90::2</v>
      </c>
      <c r="G108" s="1"/>
    </row>
    <row r="109" spans="1:7">
      <c r="A109" t="s">
        <v>80</v>
      </c>
    </row>
    <row r="110" spans="1:7">
      <c r="A110" t="s">
        <v>81</v>
      </c>
    </row>
    <row r="112" spans="1:7">
      <c r="A112" s="2" t="s">
        <v>230</v>
      </c>
      <c r="D112" s="20" t="e">
        <f ca="1">_1__xlfn.FORMULATEXT(D113)</f>
        <v>#NAME?</v>
      </c>
      <c r="G112" s="20" t="e">
        <f ca="1">_1__xlfn.FORMULATEXT(G113)</f>
        <v>#NAME?</v>
      </c>
    </row>
    <row r="113" spans="1:7" ht="78">
      <c r="D113" s="1" t="str">
        <f>relRotate(G44)</f>
        <v>c1::c2::c3::c4::c5::c6::c7::c8::c9::c10 _x000D_
Hard drive::Memory::ZIP drive::Floppy disk::Monitor::DVD drive::CD drive::Printer::Toner cartridge::DVD burner _x000D_
240::120::150::5::240::180::90::270::66::180 _x000D_
H::M::Z::F::M::D::C::P::T::D</v>
      </c>
      <c r="G113" s="1" t="str">
        <f>relRotate(G44, 1)</f>
        <v xml:space="preserve">Hard drive::Memory::ZIP drive::Floppy disk::Monitor::DVD drive::CD drive::Printer::Toner cartridge::DVD burner _x000D_
240::120::150::5::240::180::90::270::66::180 _x000D_
H::M::Z::F::M::D::C::P::T::D _x000D_
</v>
      </c>
    </row>
    <row r="114" spans="1:7">
      <c r="A114" t="s">
        <v>267</v>
      </c>
    </row>
    <row r="115" spans="1:7">
      <c r="A115" t="s">
        <v>268</v>
      </c>
    </row>
    <row r="117" spans="1:7">
      <c r="A117" s="2" t="s">
        <v>105</v>
      </c>
      <c r="D117" s="20" t="e">
        <f ca="1">_1__xlfn.FORMULATEXT(D118)</f>
        <v>#NAME?</v>
      </c>
    </row>
    <row r="118" spans="1:7" s="1" customFormat="1" ht="62.5">
      <c r="D118" s="1" t="str">
        <f>relFilter(C13:D19,"S %code&lt;4", "P name")</f>
        <v>name _x000D_
Sony _x000D_
Creative Labs _x000D_
Hewlett Packard</v>
      </c>
    </row>
    <row r="119" spans="1:7">
      <c r="D119" s="20" t="e">
        <f ca="1">_1__xlfn.FORMULATEXT(D120)</f>
        <v>#NAME?</v>
      </c>
    </row>
    <row r="120" spans="1:7" ht="59.5" customHeight="1">
      <c r="D120" s="13" t="str">
        <f>relFilter(C13:D19,"S %code&lt;4", "P name", "O name A")</f>
        <v>name _x000D_
Creative Labs _x000D_
Hewlett Packard _x000D_
Sony</v>
      </c>
    </row>
    <row r="121" spans="1:7">
      <c r="D121" s="20" t="e">
        <f ca="1">_1__xlfn.FORMULATEXT(D122)</f>
        <v>#NAME?</v>
      </c>
    </row>
    <row r="122" spans="1:7" ht="49" customHeight="1">
      <c r="D122" s="3" t="str">
        <f>relFilter(C13:D19,"S %code&lt;4", "P name", "O name A","L 1 2")</f>
        <v>name _x000D_
Creative Labs _x000D_
Hewlett Packard</v>
      </c>
    </row>
    <row r="123" spans="1:7">
      <c r="A123" t="s">
        <v>251</v>
      </c>
      <c r="D123" s="23"/>
    </row>
    <row r="124" spans="1:7">
      <c r="A124" s="4" t="s">
        <v>269</v>
      </c>
      <c r="D124" s="23"/>
    </row>
    <row r="125" spans="1:7">
      <c r="A125" s="4" t="s">
        <v>252</v>
      </c>
      <c r="D125" s="23"/>
    </row>
    <row r="126" spans="1:7">
      <c r="A126" s="4" t="s">
        <v>270</v>
      </c>
      <c r="D126" s="23"/>
    </row>
    <row r="127" spans="1:7">
      <c r="A127" s="4" t="s">
        <v>271</v>
      </c>
      <c r="D127" s="23"/>
    </row>
    <row r="128" spans="1:7">
      <c r="A128" s="4" t="s">
        <v>276</v>
      </c>
      <c r="D128" s="23"/>
    </row>
    <row r="129" spans="1:7">
      <c r="A129" s="4" t="s">
        <v>274</v>
      </c>
      <c r="D129" s="23"/>
    </row>
    <row r="130" spans="1:7">
      <c r="A130" s="4" t="s">
        <v>275</v>
      </c>
      <c r="D130" s="23"/>
    </row>
    <row r="132" spans="1:7">
      <c r="A132" s="2" t="s">
        <v>284</v>
      </c>
      <c r="D132" s="20" t="e">
        <f ca="1">_1__xlfn.FORMULATEXT(D133)</f>
        <v>#NAME?</v>
      </c>
      <c r="G132" s="20" t="e">
        <f ca="1">_1__xlfn.FORMULATEXT(G133)</f>
        <v>#NAME?</v>
      </c>
    </row>
    <row r="133" spans="1:7">
      <c r="D133" t="b">
        <f>relAssert(D26,"ALL","%code&lt;10")</f>
        <v>1</v>
      </c>
      <c r="G133" t="str">
        <f>relAssert(G26,"ALL","%code&lt;10")</f>
        <v>#ASSERTION ALL  11 : =(10&lt;10)</v>
      </c>
    </row>
    <row r="134" spans="1:7">
      <c r="D134" s="20" t="e">
        <f ca="1">_1__xlfn.FORMULATEXT(D135)</f>
        <v>#NAME?</v>
      </c>
      <c r="G134" s="20" t="e">
        <f ca="1">_1__xlfn.FORMULATEXT(G135)</f>
        <v>#NAME?</v>
      </c>
    </row>
    <row r="135" spans="1:7">
      <c r="D135" t="str">
        <f>relAssert(D26,"EXISTS","%code=10")</f>
        <v>#ASSERTION EXISTS %code=10</v>
      </c>
      <c r="G135" t="b">
        <f>relAssert(G26,"EXISTS","%code=10")</f>
        <v>1</v>
      </c>
    </row>
    <row r="136" spans="1:7">
      <c r="D136" s="20" t="e">
        <f ca="1">_1__xlfn.FORMULATEXT(D137)</f>
        <v>#NAME?</v>
      </c>
      <c r="G136" s="20" t="e">
        <f ca="1">_1__xlfn.FORMULATEXT(G137)</f>
        <v>#NAME?</v>
      </c>
    </row>
    <row r="137" spans="1:7">
      <c r="D137" t="b">
        <f>relAssert(D26,"UNIQUE","%code")</f>
        <v>1</v>
      </c>
      <c r="G137" t="str">
        <f>relAssert(D47,"UNIQUE","%code")</f>
        <v>#ASSERTION UNIQUE  8 : 1 =  2 : 1</v>
      </c>
    </row>
    <row r="138" spans="1:7">
      <c r="D138" s="20" t="e">
        <f ca="1">_1__xlfn.FORMULATEXT(D139)</f>
        <v>#NAME?</v>
      </c>
      <c r="G138" s="20" t="e">
        <f ca="1">_1__xlfn.FORMULATEXT(G139)</f>
        <v>#NAME?</v>
      </c>
    </row>
    <row r="139" spans="1:7">
      <c r="D139" t="str">
        <f>relAssert(D26,"COLUMNS","code::price")</f>
        <v>#ASSERTION COLUMNS price</v>
      </c>
      <c r="G139" t="b">
        <f>relAssert(G26,"COLUMNS","code::price")</f>
        <v>1</v>
      </c>
    </row>
    <row r="140" spans="1:7">
      <c r="A140" t="s">
        <v>288</v>
      </c>
    </row>
    <row r="141" spans="1:7">
      <c r="A141" t="s">
        <v>287</v>
      </c>
    </row>
    <row r="142" spans="1:7">
      <c r="A142" t="s">
        <v>285</v>
      </c>
    </row>
    <row r="143" spans="1:7">
      <c r="A143" t="s">
        <v>286</v>
      </c>
    </row>
    <row r="145" spans="1:1">
      <c r="A145" s="2" t="s">
        <v>39</v>
      </c>
    </row>
    <row r="146" spans="1:1">
      <c r="A146" s="11" t="s">
        <v>254</v>
      </c>
    </row>
    <row r="147" spans="1:1">
      <c r="A147" s="11" t="s">
        <v>103</v>
      </c>
    </row>
    <row r="148" spans="1:1">
      <c r="A148" s="11" t="s">
        <v>255</v>
      </c>
    </row>
    <row r="150" spans="1:1">
      <c r="A150" s="5" t="s">
        <v>40</v>
      </c>
    </row>
    <row r="151" spans="1:1">
      <c r="A151" s="19">
        <v>42832</v>
      </c>
    </row>
  </sheetData>
  <hyperlinks>
    <hyperlink ref="A150" r:id="rId1"/>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J61"/>
  <sheetViews>
    <sheetView showRuler="0" topLeftCell="A55" zoomScale="76" zoomScaleNormal="76" zoomScalePageLayoutView="76" workbookViewId="0">
      <selection activeCell="D61" sqref="D61"/>
    </sheetView>
  </sheetViews>
  <sheetFormatPr baseColWidth="10" defaultRowHeight="15" x14ac:dyDescent="0"/>
  <cols>
    <col min="4" max="4" width="30.5" customWidth="1"/>
    <col min="7" max="7" width="49.5" customWidth="1"/>
    <col min="8" max="8" width="30.1640625" customWidth="1"/>
    <col min="9" max="9" width="45.1640625" customWidth="1"/>
  </cols>
  <sheetData>
    <row r="1" spans="1:9">
      <c r="A1" s="2" t="s">
        <v>41</v>
      </c>
    </row>
    <row r="3" spans="1:9">
      <c r="A3" t="s">
        <v>42</v>
      </c>
    </row>
    <row r="6" spans="1:9">
      <c r="A6" s="2" t="s">
        <v>22</v>
      </c>
      <c r="C6" s="2" t="s">
        <v>23</v>
      </c>
      <c r="D6" s="2"/>
      <c r="F6" s="2" t="s">
        <v>24</v>
      </c>
      <c r="G6" s="2"/>
    </row>
    <row r="7" spans="1:9">
      <c r="C7" t="s">
        <v>273</v>
      </c>
      <c r="D7" t="s">
        <v>8</v>
      </c>
      <c r="F7" t="s">
        <v>272</v>
      </c>
      <c r="G7" t="s">
        <v>1</v>
      </c>
      <c r="H7" t="s">
        <v>7</v>
      </c>
      <c r="I7" t="s">
        <v>273</v>
      </c>
    </row>
    <row r="8" spans="1:9">
      <c r="C8">
        <v>1</v>
      </c>
      <c r="D8" t="s">
        <v>2</v>
      </c>
      <c r="F8">
        <v>1</v>
      </c>
      <c r="G8" t="s">
        <v>9</v>
      </c>
      <c r="H8">
        <v>240</v>
      </c>
      <c r="I8">
        <v>5</v>
      </c>
    </row>
    <row r="9" spans="1:9">
      <c r="C9">
        <v>2</v>
      </c>
      <c r="D9" t="s">
        <v>3</v>
      </c>
      <c r="F9">
        <v>2</v>
      </c>
      <c r="G9" t="s">
        <v>10</v>
      </c>
      <c r="H9">
        <v>120</v>
      </c>
      <c r="I9">
        <v>6</v>
      </c>
    </row>
    <row r="10" spans="1:9">
      <c r="C10">
        <v>3</v>
      </c>
      <c r="D10" t="s">
        <v>4</v>
      </c>
      <c r="F10">
        <v>3</v>
      </c>
      <c r="G10" t="s">
        <v>11</v>
      </c>
      <c r="H10">
        <v>150</v>
      </c>
      <c r="I10">
        <v>4</v>
      </c>
    </row>
    <row r="11" spans="1:9">
      <c r="C11">
        <v>4</v>
      </c>
      <c r="D11" t="s">
        <v>21</v>
      </c>
      <c r="F11">
        <v>4</v>
      </c>
      <c r="G11" t="s">
        <v>12</v>
      </c>
      <c r="H11">
        <v>5</v>
      </c>
      <c r="I11">
        <v>6</v>
      </c>
    </row>
    <row r="12" spans="1:9">
      <c r="C12">
        <v>5</v>
      </c>
      <c r="D12" t="s">
        <v>5</v>
      </c>
      <c r="F12">
        <v>5</v>
      </c>
      <c r="G12" t="s">
        <v>13</v>
      </c>
      <c r="H12">
        <v>240</v>
      </c>
      <c r="I12">
        <v>1</v>
      </c>
    </row>
    <row r="13" spans="1:9">
      <c r="C13">
        <v>6</v>
      </c>
      <c r="D13" t="s">
        <v>6</v>
      </c>
      <c r="F13">
        <v>6</v>
      </c>
      <c r="G13" t="s">
        <v>14</v>
      </c>
      <c r="H13">
        <v>180</v>
      </c>
      <c r="I13">
        <v>2</v>
      </c>
    </row>
    <row r="14" spans="1:9">
      <c r="F14">
        <v>7</v>
      </c>
      <c r="G14" t="s">
        <v>15</v>
      </c>
      <c r="H14">
        <v>90</v>
      </c>
      <c r="I14">
        <v>2</v>
      </c>
    </row>
    <row r="15" spans="1:9">
      <c r="F15">
        <v>8</v>
      </c>
      <c r="G15" t="s">
        <v>16</v>
      </c>
      <c r="H15">
        <v>270</v>
      </c>
      <c r="I15">
        <v>3</v>
      </c>
    </row>
    <row r="16" spans="1:9">
      <c r="F16">
        <v>9</v>
      </c>
      <c r="G16" t="s">
        <v>17</v>
      </c>
      <c r="H16">
        <v>66</v>
      </c>
      <c r="I16">
        <v>3</v>
      </c>
    </row>
    <row r="17" spans="1:10">
      <c r="F17">
        <v>10</v>
      </c>
      <c r="G17" t="s">
        <v>18</v>
      </c>
      <c r="H17">
        <v>180</v>
      </c>
      <c r="I17">
        <v>2</v>
      </c>
    </row>
    <row r="19" spans="1:10">
      <c r="D19" s="24" t="s">
        <v>279</v>
      </c>
      <c r="E19" s="24"/>
      <c r="F19" s="24"/>
      <c r="G19" s="24" t="s">
        <v>278</v>
      </c>
    </row>
    <row r="20" spans="1:10">
      <c r="A20" s="2" t="s">
        <v>27</v>
      </c>
      <c r="D20" s="2" t="e">
        <f ca="1">_1__xlfn.FORMULATEXT(D21)</f>
        <v>#NAME?</v>
      </c>
      <c r="G20" s="2" t="e">
        <f ca="1">_1__xlfn.FORMULATEXT(G21)</f>
        <v>#NAME?</v>
      </c>
      <c r="J20" s="2"/>
    </row>
    <row r="21" spans="1:10" ht="156" customHeight="1">
      <c r="D21" s="1" t="str">
        <f>relRange(C7:D13)</f>
        <v>manid::manufacturer _x000D_
1::Sony _x000D_
2::Creative Labs _x000D_
3::Hewlett Packard _x000D_
4::Iomega _x000D_
5::Fujitsu _x000D_
6::Winchester</v>
      </c>
      <c r="G21" s="1" t="str">
        <f>relRange(F7:I17)</f>
        <v>itemid::name::price::manid _x000D_
1::Hard drive::240::5 _x000D_
2::Memory::120::6 _x000D_
3::ZIP drive::150::4 _x000D_
4::Floppy disk::5::6 _x000D_
5::Monitor::240::1 _x000D_
6::DVD drive::180::2 _x000D_
7::CD drive::90::2 _x000D_
8::Printer::270::3 _x000D_
9::Toner cartridge::66::3 _x000D_
10::DVD burner::180::2</v>
      </c>
    </row>
    <row r="23" spans="1:10">
      <c r="A23" s="2" t="s">
        <v>43</v>
      </c>
      <c r="G23" s="2" t="e">
        <f ca="1">_1__xlfn.FORMULATEXT(G24)</f>
        <v>#NAME?</v>
      </c>
    </row>
    <row r="24" spans="1:10" ht="171" customHeight="1">
      <c r="G24" s="1" t="str">
        <f>relProject(products,"name::price")</f>
        <v>name::price _x000D_
Hard drive::240 _x000D_
Memory::120 _x000D_
ZIP drive::150 _x000D_
Floppy disk::5 _x000D_
Monitor::240 _x000D_
DVD drive::180 _x000D_
CD drive::90 _x000D_
Printer::270 _x000D_
Toner cartridge::66 _x000D_
DVD burner::180</v>
      </c>
    </row>
    <row r="26" spans="1:10">
      <c r="A26" s="2" t="s">
        <v>44</v>
      </c>
      <c r="G26" s="2" t="e">
        <f ca="1">_1__xlfn.FORMULATEXT(G27)</f>
        <v>#NAME?</v>
      </c>
    </row>
    <row r="27" spans="1:10" ht="111" customHeight="1">
      <c r="G27" s="1" t="str">
        <f>relFilter(products,"S %price&lt;=200","P name")</f>
        <v>name _x000D_
Memory _x000D_
ZIP drive _x000D_
Floppy disk _x000D_
DVD drive _x000D_
CD drive _x000D_
Toner cartridge _x000D_
DVD burner</v>
      </c>
    </row>
    <row r="29" spans="1:10">
      <c r="A29" s="2" t="s">
        <v>45</v>
      </c>
      <c r="G29" s="2" t="e">
        <f ca="1">_1__xlfn.FORMULATEXT(G30)</f>
        <v>#NAME?</v>
      </c>
    </row>
    <row r="30" spans="1:10" ht="152" customHeight="1">
      <c r="G30" s="1" t="str">
        <f>relFilter(products,"S AND(%price&gt;=60,%price&lt;=120)","P 2")</f>
        <v>name _x000D_
Memory _x000D_
CD drive _x000D_
Toner cartridge</v>
      </c>
    </row>
    <row r="31" spans="1:10">
      <c r="A31" t="s">
        <v>46</v>
      </c>
    </row>
    <row r="33" spans="1:8">
      <c r="A33" s="2" t="s">
        <v>47</v>
      </c>
      <c r="G33" s="2" t="e">
        <f ca="1">_1__xlfn.FORMULATEXT(G34)</f>
        <v>#NAME?</v>
      </c>
    </row>
    <row r="34" spans="1:8" ht="175" customHeight="1">
      <c r="G34" s="1" t="str">
        <f>relFilter(products,"E cents %3*100","P name::cents")</f>
        <v>name::cents _x000D_
Hard drive::24000 _x000D_
Memory::12000 _x000D_
ZIP drive::15000 _x000D_
Floppy disk::500 _x000D_
Monitor::24000 _x000D_
DVD drive::18000 _x000D_
CD drive::9000 _x000D_
Printer::27000 _x000D_
Toner cartridge::6600 _x000D_
DVD burner::18000</v>
      </c>
    </row>
    <row r="35" spans="1:8">
      <c r="H35" s="22"/>
    </row>
    <row r="36" spans="1:8">
      <c r="A36" s="2" t="s">
        <v>48</v>
      </c>
      <c r="G36" s="2" t="e">
        <f ca="1">_1__xlfn.FORMULATEXT(G37)</f>
        <v>#NAME?</v>
      </c>
    </row>
    <row r="37" spans="1:8">
      <c r="G37">
        <f>relFilter(products, "P price AVG", "C")</f>
        <v>154.1</v>
      </c>
    </row>
    <row r="39" spans="1:8">
      <c r="A39" s="2" t="s">
        <v>49</v>
      </c>
      <c r="G39" s="2" t="e">
        <f ca="1">_1__xlfn.FORMULATEXT(G40)</f>
        <v>#NAME?</v>
      </c>
    </row>
    <row r="40" spans="1:8">
      <c r="G40">
        <f>relFilter(products,"S %manid=2","P price AVG","C")</f>
        <v>150</v>
      </c>
    </row>
    <row r="42" spans="1:8">
      <c r="A42" s="2" t="s">
        <v>50</v>
      </c>
      <c r="G42" s="2" t="e">
        <f ca="1">_1__xlfn.FORMULATEXT(G43)</f>
        <v>#NAME?</v>
      </c>
    </row>
    <row r="43" spans="1:8">
      <c r="G43" s="4">
        <f>relFilter(products,"S %price&gt;=180","P itemid COUNT","C")</f>
        <v>5</v>
      </c>
    </row>
    <row r="45" spans="1:8">
      <c r="A45" s="2" t="s">
        <v>51</v>
      </c>
    </row>
    <row r="46" spans="1:8">
      <c r="A46" s="2"/>
      <c r="G46" s="2" t="e">
        <f ca="1">_1__xlfn.FORMULATEXT(G47)</f>
        <v>#NAME?</v>
      </c>
    </row>
    <row r="47" spans="1:8" ht="86" customHeight="1">
      <c r="G47" s="7" t="str">
        <f>relFilter(products,"S %price&gt;180","P name::price","O price 9::name A")</f>
        <v>name::price _x000D_
Printer::270 _x000D_
Hard drive::240 _x000D_
Monitor::240</v>
      </c>
    </row>
    <row r="49" spans="1:9">
      <c r="A49" s="2" t="s">
        <v>52</v>
      </c>
      <c r="G49" s="2" t="e">
        <f ca="1">_1__xlfn.FORMULATEXT(G50)</f>
        <v>#NAME?</v>
      </c>
    </row>
    <row r="50" spans="1:9" ht="171.5">
      <c r="G50" s="1" t="str">
        <f>relFilter(manufacturers,products,"J NATURAL","P itemid::name::price::manid::manufacturer")</f>
        <v>itemid::name::price::manid::manufacturer _x000D_
5::Monitor::240::1::Sony _x000D_
6::DVD drive::180::2::Creative Labs _x000D_
7::CD drive::90::2::Creative Labs _x000D_
10::DVD burner::180::2::Creative Labs _x000D_
8::Printer::270::3::Hewlett Packard _x000D_
9::Toner cartridge::66::3::Hewlett Packard _x000D_
3::ZIP drive::150::4::Iomega _x000D_
1::Hard drive::240::5::Fujitsu _x000D_
2::Memory::120::6::Winchester _x000D_
4::Floppy disk::5::6::Winchester</v>
      </c>
    </row>
    <row r="52" spans="1:9">
      <c r="A52" s="2" t="s">
        <v>53</v>
      </c>
      <c r="G52" s="2" t="e">
        <f ca="1">_1__xlfn.FORMULATEXT(G53)</f>
        <v>#NAME?</v>
      </c>
    </row>
    <row r="53" spans="1:9" ht="98" customHeight="1">
      <c r="G53" s="1" t="str">
        <f>relProject(products,"manid::price AVG")</f>
        <v>manid::price_avg _x000D_
5::240 _x000D_
4::150 _x000D_
6::62.5 _x000D_
1::240 _x000D_
3::168 _x000D_
2::150</v>
      </c>
    </row>
    <row r="54" spans="1:9">
      <c r="A54" s="2" t="s">
        <v>54</v>
      </c>
      <c r="G54" s="2" t="e">
        <f ca="1">_1__xlfn.FORMULATEXT(G55)</f>
        <v>#NAME?</v>
      </c>
    </row>
    <row r="55" spans="1:9" ht="94" customHeight="1">
      <c r="G55" s="1" t="str">
        <f>relFilter(manufacturers, products, "J NATURAL", "P manufacturer::price AVG")</f>
        <v>manufacturer::price_avg _x000D_
Sony::240 _x000D_
Creative Labs::150 _x000D_
Hewlett Packard::168 _x000D_
Iomega::150 _x000D_
Fujitsu::240 _x000D_
Winchester::62.5</v>
      </c>
    </row>
    <row r="56" spans="1:9">
      <c r="A56" s="2" t="s">
        <v>55</v>
      </c>
      <c r="G56" s="2" t="e">
        <f ca="1">_1__xlfn.FORMULATEXT(G57)</f>
        <v>#NAME?</v>
      </c>
    </row>
    <row r="57" spans="1:9" ht="99" customHeight="1">
      <c r="G57" s="1" t="str">
        <f>relFilter(products,"P manid::price AVG","S %price_avg&gt;=150","P manid",manufacturers,"J NATURAL","P manufacturer")</f>
        <v>manufacturer _x000D_
Fujitsu _x000D_
Iomega _x000D_
Sony _x000D_
Hewlett Packard _x000D_
Creative Labs</v>
      </c>
    </row>
    <row r="58" spans="1:9">
      <c r="A58" s="2" t="s">
        <v>56</v>
      </c>
      <c r="G58" s="2" t="e">
        <f ca="1">_1__xlfn.FORMULATEXT(G59)</f>
        <v>#NAME?</v>
      </c>
    </row>
    <row r="59" spans="1:9" ht="66" customHeight="1">
      <c r="G59" s="1" t="str">
        <f>relFilter(products,"P price MIN","R price_min price",products,"J NATURAL","P name::price")</f>
        <v>name::price _x000D_
Floppy disk::5</v>
      </c>
      <c r="H59" s="3">
        <v>5</v>
      </c>
    </row>
    <row r="60" spans="1:9">
      <c r="A60" s="2" t="s">
        <v>57</v>
      </c>
      <c r="G60" s="2" t="e">
        <f ca="1">_1__xlfn.FORMULATEXT(G61)</f>
        <v>#NAME?</v>
      </c>
      <c r="H60" s="2"/>
      <c r="I60" s="2"/>
    </row>
    <row r="61" spans="1:9" ht="155" customHeight="1">
      <c r="G61" s="1" t="str">
        <f>relFilter(products,"P manid::price MAX",products,"J NATURAL","S %price=%price_max",manufacturers,"J NATURAL","P manufacturer::name::price","O manufacturer")</f>
        <v>manufacturer::name::price _x000D_
Creative Labs::DVD drive::180 _x000D_
Creative Labs::DVD burner::180 _x000D_
Fujitsu::Hard drive::240 _x000D_
Hewlett Packard::Printer::270 _x000D_
Iomega::ZIP drive::150 _x000D_
Sony::Monitor::240 _x000D_
Winchester::Memory::120</v>
      </c>
      <c r="H61" s="1"/>
      <c r="I61" s="1"/>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J50"/>
  <sheetViews>
    <sheetView showRuler="0" topLeftCell="A43" zoomScale="76" zoomScaleNormal="76" zoomScalePageLayoutView="76" workbookViewId="0">
      <selection activeCell="H50" sqref="H50"/>
    </sheetView>
  </sheetViews>
  <sheetFormatPr baseColWidth="10" defaultRowHeight="15" x14ac:dyDescent="0"/>
  <cols>
    <col min="4" max="4" width="33.5" customWidth="1"/>
    <col min="5" max="5" width="11.1640625" customWidth="1"/>
    <col min="8" max="8" width="54.6640625" customWidth="1"/>
  </cols>
  <sheetData>
    <row r="1" spans="1:10">
      <c r="A1" s="12" t="s">
        <v>41</v>
      </c>
      <c r="B1" s="12"/>
      <c r="C1" s="10"/>
      <c r="D1" s="10"/>
      <c r="E1" s="10"/>
      <c r="F1" s="10"/>
      <c r="G1" s="10"/>
      <c r="H1" s="10"/>
      <c r="I1" s="10"/>
      <c r="J1" s="10"/>
    </row>
    <row r="2" spans="1:10">
      <c r="A2" s="10"/>
      <c r="B2" s="10"/>
      <c r="C2" s="10"/>
      <c r="D2" s="10"/>
      <c r="E2" s="10"/>
      <c r="F2" s="10"/>
      <c r="G2" s="10"/>
      <c r="H2" s="10"/>
      <c r="I2" s="10"/>
      <c r="J2" s="10"/>
    </row>
    <row r="3" spans="1:10">
      <c r="A3" s="10" t="s">
        <v>106</v>
      </c>
      <c r="B3" s="10"/>
      <c r="C3" s="10"/>
      <c r="D3" s="10"/>
      <c r="E3" s="10"/>
      <c r="F3" s="10"/>
      <c r="G3" s="10"/>
      <c r="H3" s="10"/>
      <c r="I3" s="10"/>
      <c r="J3" s="10"/>
    </row>
    <row r="4" spans="1:10">
      <c r="A4" s="10"/>
      <c r="B4" s="10"/>
      <c r="C4" s="10"/>
      <c r="D4" s="10"/>
      <c r="E4" s="10"/>
      <c r="F4" s="10"/>
      <c r="G4" s="10"/>
      <c r="H4" s="10"/>
      <c r="I4" s="10"/>
      <c r="J4" s="10"/>
    </row>
    <row r="5" spans="1:10">
      <c r="A5" s="10"/>
      <c r="B5" s="10"/>
      <c r="C5" s="10"/>
      <c r="D5" s="10"/>
      <c r="E5" s="10"/>
      <c r="F5" s="10"/>
      <c r="G5" s="10"/>
      <c r="H5" s="10"/>
      <c r="I5" s="10"/>
      <c r="J5" s="10"/>
    </row>
    <row r="6" spans="1:10">
      <c r="A6" s="12" t="s">
        <v>22</v>
      </c>
      <c r="B6" s="10"/>
      <c r="C6" s="12" t="s">
        <v>107</v>
      </c>
      <c r="D6" s="12"/>
      <c r="F6" s="10"/>
      <c r="G6" s="12" t="s">
        <v>108</v>
      </c>
      <c r="H6" s="12"/>
      <c r="I6" s="10"/>
      <c r="J6" s="10"/>
    </row>
    <row r="7" spans="1:10">
      <c r="C7" t="s">
        <v>280</v>
      </c>
      <c r="D7" t="s">
        <v>111</v>
      </c>
      <c r="E7" t="s">
        <v>134</v>
      </c>
      <c r="G7" t="s">
        <v>109</v>
      </c>
      <c r="H7" t="s">
        <v>1</v>
      </c>
      <c r="I7" t="s">
        <v>110</v>
      </c>
      <c r="J7" t="s">
        <v>280</v>
      </c>
    </row>
    <row r="8" spans="1:10">
      <c r="C8">
        <v>14</v>
      </c>
      <c r="D8" t="s">
        <v>135</v>
      </c>
      <c r="E8">
        <v>65000</v>
      </c>
      <c r="G8">
        <v>123234877</v>
      </c>
      <c r="H8" t="s">
        <v>112</v>
      </c>
      <c r="I8" t="s">
        <v>113</v>
      </c>
      <c r="J8">
        <v>14</v>
      </c>
    </row>
    <row r="9" spans="1:10">
      <c r="C9">
        <v>37</v>
      </c>
      <c r="D9" t="s">
        <v>136</v>
      </c>
      <c r="E9">
        <v>15000</v>
      </c>
      <c r="G9">
        <v>152934485</v>
      </c>
      <c r="H9" t="s">
        <v>114</v>
      </c>
      <c r="I9" t="s">
        <v>115</v>
      </c>
      <c r="J9">
        <v>14</v>
      </c>
    </row>
    <row r="10" spans="1:10">
      <c r="C10">
        <v>59</v>
      </c>
      <c r="D10" t="s">
        <v>137</v>
      </c>
      <c r="E10">
        <v>240000</v>
      </c>
      <c r="G10">
        <v>222364883</v>
      </c>
      <c r="H10" t="s">
        <v>116</v>
      </c>
      <c r="I10" t="s">
        <v>117</v>
      </c>
      <c r="J10">
        <v>37</v>
      </c>
    </row>
    <row r="11" spans="1:10">
      <c r="C11">
        <v>77</v>
      </c>
      <c r="D11" t="s">
        <v>138</v>
      </c>
      <c r="E11">
        <v>55000</v>
      </c>
      <c r="G11">
        <v>326587417</v>
      </c>
      <c r="H11" t="s">
        <v>118</v>
      </c>
      <c r="I11" t="s">
        <v>119</v>
      </c>
      <c r="J11">
        <v>37</v>
      </c>
    </row>
    <row r="12" spans="1:10">
      <c r="G12">
        <v>332154719</v>
      </c>
      <c r="H12" t="s">
        <v>120</v>
      </c>
      <c r="I12" t="s">
        <v>121</v>
      </c>
      <c r="J12">
        <v>14</v>
      </c>
    </row>
    <row r="13" spans="1:10">
      <c r="G13">
        <v>332569843</v>
      </c>
      <c r="H13" t="s">
        <v>122</v>
      </c>
      <c r="I13" t="s">
        <v>123</v>
      </c>
      <c r="J13">
        <v>77</v>
      </c>
    </row>
    <row r="14" spans="1:10">
      <c r="G14">
        <v>546523478</v>
      </c>
      <c r="H14" t="s">
        <v>124</v>
      </c>
      <c r="I14" t="s">
        <v>125</v>
      </c>
      <c r="J14">
        <v>59</v>
      </c>
    </row>
    <row r="15" spans="1:10">
      <c r="G15">
        <v>631231482</v>
      </c>
      <c r="H15" t="s">
        <v>126</v>
      </c>
      <c r="I15" t="s">
        <v>117</v>
      </c>
      <c r="J15">
        <v>77</v>
      </c>
    </row>
    <row r="16" spans="1:10">
      <c r="G16">
        <v>654873219</v>
      </c>
      <c r="H16" t="s">
        <v>127</v>
      </c>
      <c r="I16" t="s">
        <v>128</v>
      </c>
      <c r="J16">
        <v>59</v>
      </c>
    </row>
    <row r="17" spans="1:10">
      <c r="G17">
        <v>745685214</v>
      </c>
      <c r="H17" t="s">
        <v>129</v>
      </c>
      <c r="I17" t="s">
        <v>130</v>
      </c>
      <c r="J17">
        <v>59</v>
      </c>
    </row>
    <row r="18" spans="1:10">
      <c r="G18">
        <v>845657245</v>
      </c>
      <c r="H18" t="s">
        <v>131</v>
      </c>
      <c r="I18" t="s">
        <v>125</v>
      </c>
      <c r="J18">
        <v>14</v>
      </c>
    </row>
    <row r="19" spans="1:10">
      <c r="G19">
        <v>845657246</v>
      </c>
      <c r="H19" t="s">
        <v>132</v>
      </c>
      <c r="I19" t="s">
        <v>133</v>
      </c>
      <c r="J19">
        <v>14</v>
      </c>
    </row>
    <row r="21" spans="1:10">
      <c r="A21" s="2" t="s">
        <v>27</v>
      </c>
      <c r="D21" s="2" t="e">
        <f ca="1">_1__xlfn.FORMULATEXT(D22)</f>
        <v>#NAME?</v>
      </c>
      <c r="H21" s="2" t="e">
        <f ca="1">_1__xlfn.FORMULATEXT(H22)</f>
        <v>#NAME?</v>
      </c>
      <c r="J21" s="2"/>
    </row>
    <row r="22" spans="1:10" ht="189" customHeight="1">
      <c r="D22" s="1" t="str">
        <f>relRange(C7:E11)</f>
        <v>depid::department::budget _x000D_
14::IT::65000 _x000D_
37::Accounting::15000 _x000D_
59::Human Resources::240000 _x000D_
77::Research::55000</v>
      </c>
      <c r="H22" s="1" t="str">
        <f>relRange(G7:J19)</f>
        <v>ssn::name::lastname::depid _x000D_
123234877::Michael::Rogers::14 _x000D_
152934485::Anand::Manikutty::14 _x000D_
222364883::Carol::Smith::37 _x000D_
326587417::Joe::Stevens::37 _x000D_
332154719::Mary-Anne::Foster::14 _x000D_
332569843::George::ODonnell::77 _x000D_
546523478::John::Doe::59 _x000D_
631231482::David::Smith::77 _x000D_
654873219::Zacary::Efron::59 _x000D_
745685214::Eric::Goldsmith::59 _x000D_
845657245::Elizabeth::Doe::14 _x000D_
845657246::Kumar::Swamy::14</v>
      </c>
    </row>
    <row r="23" spans="1:10">
      <c r="A23" s="2" t="s">
        <v>139</v>
      </c>
      <c r="H23" s="2" t="e">
        <f ca="1">_1__xlfn.FORMULATEXT(H24)</f>
        <v>#NAME?</v>
      </c>
    </row>
    <row r="24" spans="1:10" ht="184" customHeight="1">
      <c r="H24" s="14" t="str">
        <f>relProject(employees,"lastname")</f>
        <v>lastname _x000D_
Rogers _x000D_
Manikutty _x000D_
Stevens _x000D_
Foster _x000D_
ODonnell _x000D_
Smith _x000D_
Efron _x000D_
Goldsmith _x000D_
Doe _x000D_
Swamy</v>
      </c>
    </row>
    <row r="25" spans="1:10">
      <c r="A25" s="2" t="s">
        <v>140</v>
      </c>
      <c r="H25" s="2" t="e">
        <f ca="1">_1__xlfn.FORMULATEXT(H26)</f>
        <v>#NAME?</v>
      </c>
    </row>
    <row r="26" spans="1:10" ht="67" customHeight="1">
      <c r="H26" s="1" t="str">
        <f>relSelect(employees,"OR($lastname=""Smith"", $lastname=""Doe"")")</f>
        <v>ssn::name::lastname::depid _x000D_
222364883::Carol::Smith::37 _x000D_
546523478::John::Doe::59 _x000D_
631231482::David::Smith::77 _x000D_
845657245::Elizabeth::Doe::14</v>
      </c>
    </row>
    <row r="28" spans="1:10">
      <c r="A28" s="2" t="s">
        <v>141</v>
      </c>
      <c r="H28" s="2" t="e">
        <f ca="1">_1__xlfn.FORMULATEXT(H29)</f>
        <v>#NAME?</v>
      </c>
    </row>
    <row r="29" spans="1:10" ht="78" customHeight="1">
      <c r="H29" s="1" t="str">
        <f>relSelect(employees,"%depid=14")</f>
        <v>ssn::name::lastname::depid _x000D_
123234877::Michael::Rogers::14 _x000D_
152934485::Anand::Manikutty::14 _x000D_
332154719::Mary-Anne::Foster::14 _x000D_
845657245::Elizabeth::Doe::14 _x000D_
845657246::Kumar::Swamy::14</v>
      </c>
    </row>
    <row r="30" spans="1:10">
      <c r="A30" s="2" t="s">
        <v>142</v>
      </c>
      <c r="H30" s="2" t="e">
        <f ca="1">_1__xlfn.FORMULATEXT(H31)</f>
        <v>#NAME?</v>
      </c>
    </row>
    <row r="31" spans="1:10" ht="84" customHeight="1">
      <c r="H31" s="1" t="str">
        <f>relSelect(employees,"OR(%depid=37,%depid=77)")</f>
        <v>ssn::name::lastname::depid _x000D_
222364883::Carol::Smith::37 _x000D_
326587417::Joe::Stevens::37 _x000D_
332569843::George::ODonnell::77 _x000D_
631231482::David::Smith::77</v>
      </c>
    </row>
    <row r="32" spans="1:10">
      <c r="A32" s="2" t="s">
        <v>143</v>
      </c>
      <c r="H32" s="2" t="e">
        <f ca="1">_1__xlfn.FORMULATEXT(H33)</f>
        <v>#NAME?</v>
      </c>
    </row>
    <row r="33" spans="1:8" ht="85.25" customHeight="1">
      <c r="H33" s="1" t="str">
        <f>relSelect(employees,"LEFT($lastname,1)=""S""")</f>
        <v>ssn::name::lastname::depid _x000D_
222364883::Carol::Smith::37 _x000D_
326587417::Joe::Stevens::37 _x000D_
631231482::David::Smith::77 _x000D_
845657246::Kumar::Swamy::14</v>
      </c>
    </row>
    <row r="34" spans="1:8">
      <c r="A34" s="2" t="s">
        <v>144</v>
      </c>
      <c r="H34" s="2" t="e">
        <f ca="1">_1__xlfn.FORMULATEXT(H35)</f>
        <v>#NAME?</v>
      </c>
    </row>
    <row r="35" spans="1:8">
      <c r="H35">
        <f>relFilter(departments,"P budget SUM","C")</f>
        <v>375000</v>
      </c>
    </row>
    <row r="36" spans="1:8">
      <c r="A36" s="2" t="s">
        <v>145</v>
      </c>
    </row>
    <row r="37" spans="1:8">
      <c r="H37" s="2" t="e">
        <f ca="1">_1__xlfn.FORMULATEXT(H38)</f>
        <v>#NAME?</v>
      </c>
    </row>
    <row r="38" spans="1:8" ht="78.5" customHeight="1">
      <c r="H38" s="13" t="str">
        <f>relProject(employees,"depid::ssn COUNT")</f>
        <v>depid::ssn_count _x000D_
37::2 _x000D_
77::2 _x000D_
59::3 _x000D_
14::5</v>
      </c>
    </row>
    <row r="39" spans="1:8">
      <c r="A39" s="2" t="s">
        <v>146</v>
      </c>
      <c r="H39" s="2" t="e">
        <f ca="1">_1__xlfn.FORMULATEXT(H40)</f>
        <v>#NAME?</v>
      </c>
    </row>
    <row r="40" spans="1:8" ht="208.25" customHeight="1">
      <c r="H40" s="1" t="str">
        <f>relFilter(employees,departments,"J NATURAL")</f>
        <v>depid::ssn::name::lastname::department::budget _x000D_
14::123234877::Michael::Rogers::IT::65000 _x000D_
14::152934485::Anand::Manikutty::IT::65000 _x000D_
37::222364883::Carol::Smith::Accounting::15000 _x000D_
37::326587417::Joe::Stevens::Accounting::15000 _x000D_
14::332154719::Mary-Anne::Foster::IT::65000 _x000D_
77::332569843::George::ODonnell::Research::55000 _x000D_
59::546523478::John::Doe::Human Resources::240000 _x000D_
77::631231482::David::Smith::Research::55000 _x000D_
59::654873219::Zacary::Efron::Human Resources::240000 _x000D_
59::745685214::Eric::Goldsmith::Human Resources::240000 _x000D_
14::845657245::Elizabeth::Doe::IT::65000 _x000D_
14::845657246::Kumar::Swamy::IT::65000</v>
      </c>
    </row>
    <row r="41" spans="1:8">
      <c r="A41" s="2" t="s">
        <v>147</v>
      </c>
      <c r="H41" s="2" t="e">
        <f ca="1">_1__xlfn.FORMULATEXT(H42)</f>
        <v>#NAME?</v>
      </c>
    </row>
    <row r="42" spans="1:8" ht="208.25" customHeight="1">
      <c r="H42" s="1" t="str">
        <f>relProject(H40,"name::lastname::department::budget")</f>
        <v>name::lastname::department::budget _x000D_
Michael::Rogers::IT::65000 _x000D_
Anand::Manikutty::IT::65000 _x000D_
Carol::Smith::Accounting::15000 _x000D_
Joe::Stevens::Accounting::15000 _x000D_
Mary-Anne::Foster::IT::65000 _x000D_
George::ODonnell::Research::55000 _x000D_
John::Doe::Human Resources::240000 _x000D_
David::Smith::Research::55000 _x000D_
Zacary::Efron::Human Resources::240000 _x000D_
Eric::Goldsmith::Human Resources::240000 _x000D_
Elizabeth::Doe::IT::65000 _x000D_
Kumar::Swamy::IT::65000</v>
      </c>
    </row>
    <row r="43" spans="1:8">
      <c r="A43" s="2" t="s">
        <v>148</v>
      </c>
      <c r="H43" s="2" t="e">
        <f ca="1">_1__xlfn.FORMULATEXT(H44)</f>
        <v>#NAME?</v>
      </c>
    </row>
    <row r="44" spans="1:8" ht="150" customHeight="1">
      <c r="H44" s="1" t="str">
        <f>relFilter(H40,"S %budget&gt;60000","P name::lastname")</f>
        <v>name::lastname _x000D_
Michael::Rogers _x000D_
Anand::Manikutty _x000D_
Mary-Anne::Foster _x000D_
John::Doe _x000D_
Zacary::Efron _x000D_
Eric::Goldsmith _x000D_
Elizabeth::Doe _x000D_
Kumar::Swamy</v>
      </c>
    </row>
    <row r="45" spans="1:8">
      <c r="A45" s="2" t="s">
        <v>149</v>
      </c>
      <c r="H45" s="2" t="e">
        <f ca="1">_1__xlfn.FORMULATEXT(H46)</f>
        <v>#NAME?</v>
      </c>
    </row>
    <row r="46" spans="1:8" ht="40.75" customHeight="1">
      <c r="H46" s="1" t="str">
        <f>relFilter(departments,"P budget AVG",departments,"J %budget&gt;%budget_avg","P department")</f>
        <v>department _x000D_
Human Resources</v>
      </c>
    </row>
    <row r="47" spans="1:8">
      <c r="A47" s="2" t="s">
        <v>150</v>
      </c>
      <c r="H47" s="2" t="e">
        <f ca="1">_1__xlfn.FORMULATEXT(H48)</f>
        <v>#NAME?</v>
      </c>
    </row>
    <row r="48" spans="1:8" ht="53.5" customHeight="1">
      <c r="H48" s="1" t="str">
        <f>relFilter(employees,"P depid::ssn COUNT","S %ssn_count&gt;2",departments,"J NATURAL","P department")</f>
        <v>department _x000D_
Human Resources _x000D_
IT</v>
      </c>
    </row>
    <row r="49" spans="1:8">
      <c r="A49" s="2" t="s">
        <v>151</v>
      </c>
      <c r="H49" s="2" t="e">
        <f ca="1">_1__xlfn.FORMULATEXT(H50)</f>
        <v>#NAME?</v>
      </c>
    </row>
    <row r="50" spans="1:8" ht="57.5" customHeight="1">
      <c r="H50" s="1" t="str">
        <f>relFilter(departments,"O budget 1","L 2 1",employees,"J NATURAL","P name::lastname")</f>
        <v>name::lastname _x000D_
George::ODonnell _x000D_
David::Smith</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48"/>
  <sheetViews>
    <sheetView showRuler="0" topLeftCell="A39" zoomScale="70" zoomScaleNormal="70" zoomScalePageLayoutView="70" workbookViewId="0">
      <selection activeCell="H58" sqref="H58"/>
    </sheetView>
  </sheetViews>
  <sheetFormatPr baseColWidth="10" defaultRowHeight="15" x14ac:dyDescent="0"/>
  <cols>
    <col min="4" max="4" width="22.83203125" customWidth="1"/>
    <col min="8" max="8" width="41.83203125" customWidth="1"/>
  </cols>
  <sheetData>
    <row r="1" spans="1:10">
      <c r="A1" s="12" t="s">
        <v>41</v>
      </c>
      <c r="B1" s="12"/>
      <c r="C1" s="10"/>
      <c r="D1" s="10"/>
      <c r="E1" s="10"/>
      <c r="F1" s="10"/>
      <c r="G1" s="10"/>
      <c r="H1" s="10"/>
      <c r="I1" s="10"/>
      <c r="J1" s="10"/>
    </row>
    <row r="2" spans="1:10">
      <c r="A2" s="10"/>
      <c r="B2" s="10"/>
      <c r="C2" s="10"/>
      <c r="D2" s="10"/>
      <c r="E2" s="10"/>
      <c r="F2" s="10"/>
      <c r="G2" s="10"/>
      <c r="H2" s="10"/>
      <c r="I2" s="10"/>
      <c r="J2" s="10"/>
    </row>
    <row r="3" spans="1:10">
      <c r="A3" s="10" t="s">
        <v>153</v>
      </c>
      <c r="B3" s="10"/>
      <c r="C3" s="10"/>
      <c r="D3" s="10"/>
      <c r="E3" s="10"/>
      <c r="F3" s="10"/>
      <c r="G3" s="10"/>
      <c r="H3" s="10"/>
      <c r="I3" s="10"/>
      <c r="J3" s="10"/>
    </row>
    <row r="4" spans="1:10">
      <c r="A4" s="10"/>
      <c r="B4" s="10"/>
      <c r="C4" s="10"/>
      <c r="D4" s="10"/>
      <c r="E4" s="10"/>
      <c r="F4" s="10"/>
      <c r="G4" s="10"/>
      <c r="H4" s="10"/>
      <c r="I4" s="10"/>
      <c r="J4" s="10"/>
    </row>
    <row r="5" spans="1:10">
      <c r="A5" s="10"/>
      <c r="B5" s="10"/>
      <c r="C5" s="10"/>
      <c r="D5" s="10"/>
      <c r="E5" s="10"/>
      <c r="F5" s="10"/>
      <c r="G5" s="10"/>
      <c r="H5" s="10"/>
      <c r="I5" s="10"/>
      <c r="J5" s="10"/>
    </row>
    <row r="6" spans="1:10">
      <c r="A6" s="12" t="s">
        <v>22</v>
      </c>
      <c r="B6" s="10"/>
      <c r="C6" s="12" t="s">
        <v>154</v>
      </c>
      <c r="D6" s="12"/>
      <c r="F6" s="10"/>
      <c r="G6" s="12" t="s">
        <v>161</v>
      </c>
      <c r="H6" s="12"/>
      <c r="I6" s="10"/>
      <c r="J6" s="10"/>
    </row>
    <row r="7" spans="1:10">
      <c r="C7" t="s">
        <v>281</v>
      </c>
      <c r="D7" t="s">
        <v>155</v>
      </c>
      <c r="E7" t="s">
        <v>156</v>
      </c>
      <c r="G7" t="s">
        <v>282</v>
      </c>
      <c r="H7" t="s">
        <v>162</v>
      </c>
      <c r="I7" t="s">
        <v>163</v>
      </c>
      <c r="J7" t="s">
        <v>281</v>
      </c>
    </row>
    <row r="8" spans="1:10">
      <c r="C8">
        <v>1</v>
      </c>
      <c r="D8" t="s">
        <v>157</v>
      </c>
      <c r="E8">
        <v>3</v>
      </c>
      <c r="G8" t="s">
        <v>164</v>
      </c>
      <c r="H8" t="s">
        <v>165</v>
      </c>
      <c r="I8">
        <v>180</v>
      </c>
      <c r="J8">
        <v>3</v>
      </c>
    </row>
    <row r="9" spans="1:10">
      <c r="C9">
        <v>2</v>
      </c>
      <c r="D9" t="s">
        <v>157</v>
      </c>
      <c r="E9">
        <v>4</v>
      </c>
      <c r="G9" t="s">
        <v>166</v>
      </c>
      <c r="H9" t="s">
        <v>165</v>
      </c>
      <c r="I9">
        <v>250</v>
      </c>
      <c r="J9">
        <v>1</v>
      </c>
    </row>
    <row r="10" spans="1:10">
      <c r="C10">
        <v>3</v>
      </c>
      <c r="D10" t="s">
        <v>158</v>
      </c>
      <c r="E10">
        <v>7</v>
      </c>
      <c r="G10" t="s">
        <v>167</v>
      </c>
      <c r="H10" t="s">
        <v>168</v>
      </c>
      <c r="I10">
        <v>190</v>
      </c>
      <c r="J10">
        <v>4</v>
      </c>
    </row>
    <row r="11" spans="1:10">
      <c r="C11">
        <v>4</v>
      </c>
      <c r="D11" t="s">
        <v>159</v>
      </c>
      <c r="E11">
        <v>2</v>
      </c>
      <c r="G11" t="s">
        <v>169</v>
      </c>
      <c r="H11" t="s">
        <v>165</v>
      </c>
      <c r="I11">
        <v>200</v>
      </c>
      <c r="J11">
        <v>1</v>
      </c>
    </row>
    <row r="12" spans="1:10">
      <c r="C12">
        <v>5</v>
      </c>
      <c r="D12" t="s">
        <v>160</v>
      </c>
      <c r="E12">
        <v>8</v>
      </c>
      <c r="G12" t="s">
        <v>170</v>
      </c>
      <c r="H12" t="s">
        <v>171</v>
      </c>
      <c r="I12">
        <v>75</v>
      </c>
      <c r="J12">
        <v>1</v>
      </c>
    </row>
    <row r="13" spans="1:10">
      <c r="G13" t="s">
        <v>172</v>
      </c>
      <c r="H13" t="s">
        <v>171</v>
      </c>
      <c r="I13">
        <v>50</v>
      </c>
      <c r="J13">
        <v>3</v>
      </c>
    </row>
    <row r="14" spans="1:10">
      <c r="G14" t="s">
        <v>173</v>
      </c>
      <c r="H14" t="s">
        <v>171</v>
      </c>
      <c r="I14">
        <v>175</v>
      </c>
      <c r="J14">
        <v>2</v>
      </c>
    </row>
    <row r="15" spans="1:10">
      <c r="G15" t="s">
        <v>174</v>
      </c>
      <c r="H15" t="s">
        <v>165</v>
      </c>
      <c r="I15">
        <v>140</v>
      </c>
      <c r="J15">
        <v>4</v>
      </c>
    </row>
    <row r="16" spans="1:10">
      <c r="G16" t="s">
        <v>175</v>
      </c>
      <c r="H16" t="s">
        <v>168</v>
      </c>
      <c r="I16">
        <v>125</v>
      </c>
      <c r="J16">
        <v>1</v>
      </c>
    </row>
    <row r="17" spans="1:10">
      <c r="G17" t="s">
        <v>176</v>
      </c>
      <c r="H17" t="s">
        <v>168</v>
      </c>
      <c r="I17">
        <v>150</v>
      </c>
      <c r="J17">
        <v>2</v>
      </c>
    </row>
    <row r="19" spans="1:10">
      <c r="A19" s="12" t="s">
        <v>27</v>
      </c>
      <c r="D19" s="2" t="e">
        <f ca="1">_1__xlfn.FORMULATEXT(D20)</f>
        <v>#NAME?</v>
      </c>
      <c r="H19" s="2" t="e">
        <f ca="1">_1__xlfn.FORMULATEXT(H20)</f>
        <v>#NAME?</v>
      </c>
    </row>
    <row r="20" spans="1:10" ht="171.5">
      <c r="D20" s="1" t="str">
        <f>relRange(C7:E12)</f>
        <v>wid::location::capacity _x000D_
1::Chicago::3 _x000D_
2::Chicago::4 _x000D_
3::New York::7 _x000D_
4::Los Angeles::2 _x000D_
5::San Francisco::8</v>
      </c>
      <c r="H20" s="13" t="str">
        <f>relRange(G7:J17)</f>
        <v>boxid::contents::value::wid _x000D_
0MN7::Rocks::180::3 _x000D_
4H8P::Rocks::250::1 _x000D_
4RT3::Scissors::190::4 _x000D_
7G3H::Rocks::200::1 _x000D_
8JN6::Papers::75::1 _x000D_
8Y6U::Papers::50::3 _x000D_
9J6F::Papers::175::2 _x000D_
LL08::Rocks::140::4 _x000D_
P0H6::Scissors::125::1 _x000D_
P2T6::Scissors::150::2</v>
      </c>
    </row>
    <row r="22" spans="1:10">
      <c r="A22" s="2" t="s">
        <v>177</v>
      </c>
      <c r="H22" s="2" t="e">
        <f ca="1">_1__xlfn.FORMULATEXT(H23)</f>
        <v>#NAME?</v>
      </c>
    </row>
    <row r="23" spans="1:10" ht="96" customHeight="1">
      <c r="H23" s="1" t="str">
        <f>relSelect(boxes,"%value&gt;150")</f>
        <v>boxid::contents::value::wid _x000D_
0MN7::Rocks::180::3 _x000D_
4H8P::Rocks::250::1 _x000D_
4RT3::Scissors::190::4 _x000D_
7G3H::Rocks::200::1 _x000D_
9J6F::Papers::175::2</v>
      </c>
    </row>
    <row r="24" spans="1:10">
      <c r="H24" s="9"/>
    </row>
    <row r="25" spans="1:10">
      <c r="A25" s="2" t="s">
        <v>178</v>
      </c>
      <c r="H25" s="2" t="e">
        <f ca="1">_1__xlfn.FORMULATEXT(H26)</f>
        <v>#NAME?</v>
      </c>
    </row>
    <row r="26" spans="1:10" ht="78" customHeight="1">
      <c r="H26" s="1" t="str">
        <f>relProject(boxes,"contents")</f>
        <v>contents _x000D_
Papers _x000D_
Rocks _x000D_
Scissors</v>
      </c>
    </row>
    <row r="27" spans="1:10">
      <c r="A27" s="2" t="s">
        <v>179</v>
      </c>
      <c r="H27" s="2" t="e">
        <f ca="1">_1__xlfn.FORMULATEXT(H28)</f>
        <v>#NAME?</v>
      </c>
    </row>
    <row r="28" spans="1:10">
      <c r="H28">
        <f>relFilter(boxes,"P value AVG","C")</f>
        <v>153.5</v>
      </c>
    </row>
    <row r="29" spans="1:10">
      <c r="A29" s="2" t="s">
        <v>180</v>
      </c>
      <c r="H29" s="2" t="e">
        <f ca="1">_1__xlfn.FORMULATEXT(H30)</f>
        <v>#NAME?</v>
      </c>
    </row>
    <row r="30" spans="1:10" ht="181.75" customHeight="1">
      <c r="H30" s="1" t="str">
        <f>relFilter(boxes,"P boxid::value AVG")</f>
        <v>boxid::value_avg _x000D_
0MN7::180 _x000D_
4H8P::250 _x000D_
4RT3::190 _x000D_
7G3H::200 _x000D_
8JN6::75 _x000D_
8Y6U::50 _x000D_
9J6F::175 _x000D_
LL08::140 _x000D_
P0H6::125 _x000D_
P2T6::150</v>
      </c>
    </row>
    <row r="31" spans="1:10">
      <c r="A31" s="2" t="s">
        <v>181</v>
      </c>
      <c r="H31" s="2" t="e">
        <f ca="1">_1__xlfn.FORMULATEXT(H32)</f>
        <v>#NAME?</v>
      </c>
    </row>
    <row r="32" spans="1:10" ht="176.5" customHeight="1">
      <c r="H32" s="1" t="str">
        <f>relFilter(boxes,warehouses,"J NATURAL","P boxid::location")</f>
        <v>boxid::location _x000D_
0MN7::New York _x000D_
4H8P::Chicago _x000D_
4RT3::Los Angeles _x000D_
7G3H::Chicago _x000D_
8JN6::Chicago _x000D_
8Y6U::New York _x000D_
9J6F::Chicago _x000D_
LL08::Los Angeles _x000D_
P0H6::Chicago _x000D_
P2T6::Chicago</v>
      </c>
    </row>
    <row r="33" spans="1:8">
      <c r="A33" s="2" t="s">
        <v>182</v>
      </c>
      <c r="H33" s="2" t="e">
        <f ca="1">_1__xlfn.FORMULATEXT(H34)</f>
        <v>#NAME?</v>
      </c>
    </row>
    <row r="34" spans="1:8" ht="91.25" customHeight="1">
      <c r="H34" s="1" t="str">
        <f>relFilter(boxes,warehouses,"J NATURAL","P wid::boxid COUNT")</f>
        <v>wid::boxid_count _x000D_
3::2 _x000D_
4::2 _x000D_
1::4 _x000D_
2::2</v>
      </c>
    </row>
    <row r="35" spans="1:8">
      <c r="A35" s="2" t="s">
        <v>183</v>
      </c>
    </row>
    <row r="36" spans="1:8">
      <c r="A36" s="2"/>
      <c r="H36" s="2" t="e">
        <f ca="1">_1__xlfn.FORMULATEXT(H37)</f>
        <v>#NAME?</v>
      </c>
    </row>
    <row r="37" spans="1:8" ht="100.25" customHeight="1">
      <c r="H37" s="1" t="str">
        <f>relFilter(warehouses,boxes,"E c 1","J LEFT","P wid::c SUM")</f>
        <v>wid::c_sum _x000D_
1::4 _x000D_
2::2 _x000D_
3::2 _x000D_
4::2 _x000D_
5::0</v>
      </c>
    </row>
    <row r="38" spans="1:8">
      <c r="A38" t="s">
        <v>283</v>
      </c>
    </row>
    <row r="39" spans="1:8">
      <c r="A39" s="2" t="s">
        <v>184</v>
      </c>
    </row>
    <row r="40" spans="1:8">
      <c r="H40" s="2" t="e">
        <f ca="1">_1__xlfn.FORMULATEXT(H41)</f>
        <v>#NAME?</v>
      </c>
    </row>
    <row r="41" spans="1:8" ht="193.25" customHeight="1">
      <c r="H41" s="18" t="str">
        <f>relFilter(warehouses,boxes,"E c 1","J LEFT",)</f>
        <v>wid::location::capacity::boxid::contents::value::c _x000D_
1::Chicago::3::4H8P::Rocks::250::1 _x000D_
1::Chicago::3::7G3H::Rocks::200::1 _x000D_
1::Chicago::3::8JN6::Papers::75::1 _x000D_
1::Chicago::3::P0H6::Scissors::125::1 _x000D_
2::Chicago::4::9J6F::Papers::175::1 _x000D_
2::Chicago::4::P2T6::Scissors::150::1 _x000D_
3::New York::7::0MN7::Rocks::180::1 _x000D_
3::New York::7::8Y6U::Papers::50::1 _x000D_
4::Los Angeles::2::4RT3::Scissors::190::1 _x000D_
4::Los Angeles::2::LL08::Rocks::140::1 _x000D_
5::San Francisco::8::::::::</v>
      </c>
    </row>
    <row r="42" spans="1:8">
      <c r="H42" s="2" t="e">
        <f ca="1">_1__xlfn.FORMULATEXT(H43)</f>
        <v>#NAME?</v>
      </c>
    </row>
    <row r="43" spans="1:8">
      <c r="H43" s="1" t="str">
        <f>relProject(H41,"wid::capacity::boxid COUNT")</f>
        <v>wid::capacity::boxid_count _x000D_
1::3::4 _x000D_
2::4::2 _x000D_
3::7::2 _x000D_
4::2::2 _x000D_
5::8::1</v>
      </c>
    </row>
    <row r="44" spans="1:8">
      <c r="H44" s="2" t="e">
        <f ca="1">_1__xlfn.FORMULATEXT(H45)</f>
        <v>#NAME?</v>
      </c>
    </row>
    <row r="45" spans="1:8">
      <c r="H45" s="13" t="str">
        <f>relSelect(H43,"%boxid_count&gt;%capacity")</f>
        <v>wid::capacity::boxid_count _x000D_
1::3::4</v>
      </c>
    </row>
    <row r="46" spans="1:8">
      <c r="H46" s="2" t="e">
        <f ca="1">_1__xlfn.FORMULATEXT(H47)</f>
        <v>#NAME?</v>
      </c>
    </row>
    <row r="47" spans="1:8" ht="38.5" customHeight="1">
      <c r="H47" s="1" t="str">
        <f>relProject(H45,"wid")</f>
        <v>wid _x000D_
1</v>
      </c>
    </row>
    <row r="48" spans="1:8">
      <c r="A48" t="s">
        <v>185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L39"/>
  <sheetViews>
    <sheetView showRuler="0" topLeftCell="A31" zoomScale="73" zoomScaleNormal="73" zoomScalePageLayoutView="73" workbookViewId="0">
      <selection activeCell="H39" sqref="H39"/>
    </sheetView>
  </sheetViews>
  <sheetFormatPr baseColWidth="10" defaultRowHeight="15" x14ac:dyDescent="0"/>
  <cols>
    <col min="7" max="7" width="15" customWidth="1"/>
    <col min="8" max="8" width="53" customWidth="1"/>
    <col min="9" max="9" width="35" customWidth="1"/>
    <col min="10" max="10" width="37" customWidth="1"/>
    <col min="11" max="11" width="27.83203125" customWidth="1"/>
    <col min="12" max="12" width="31.6640625" customWidth="1"/>
  </cols>
  <sheetData>
    <row r="1" spans="1:12">
      <c r="A1" s="12" t="s">
        <v>41</v>
      </c>
      <c r="B1" s="12"/>
      <c r="C1" s="10"/>
      <c r="D1" s="10"/>
      <c r="E1" s="10"/>
      <c r="F1" s="10"/>
      <c r="G1" s="10"/>
      <c r="H1" s="10"/>
      <c r="I1" s="10"/>
      <c r="J1" s="10"/>
    </row>
    <row r="2" spans="1:12">
      <c r="A2" s="10"/>
      <c r="B2" s="10"/>
      <c r="C2" s="10"/>
      <c r="D2" s="10"/>
      <c r="E2" s="10"/>
      <c r="F2" s="10"/>
      <c r="G2" s="10"/>
      <c r="H2" s="10"/>
      <c r="I2" s="10"/>
      <c r="J2" s="10"/>
    </row>
    <row r="3" spans="1:12">
      <c r="A3" s="10" t="s">
        <v>186</v>
      </c>
      <c r="B3" s="10"/>
      <c r="C3" s="10"/>
      <c r="D3" s="10"/>
      <c r="E3" s="10"/>
      <c r="F3" s="10"/>
      <c r="G3" s="10"/>
      <c r="H3" s="10"/>
      <c r="I3" s="10"/>
      <c r="J3" s="10"/>
    </row>
    <row r="4" spans="1:12">
      <c r="A4" s="10"/>
      <c r="B4" s="10"/>
      <c r="C4" s="10"/>
      <c r="D4" s="10"/>
      <c r="E4" s="10"/>
      <c r="F4" s="10"/>
      <c r="G4" s="10"/>
      <c r="H4" s="10"/>
      <c r="I4" s="10"/>
      <c r="J4" s="10"/>
    </row>
    <row r="5" spans="1:12">
      <c r="A5" s="10"/>
      <c r="B5" s="10"/>
      <c r="C5" s="10"/>
      <c r="D5" s="10"/>
      <c r="E5" s="10"/>
      <c r="F5" s="10"/>
      <c r="G5" s="10"/>
      <c r="H5" s="10"/>
      <c r="I5" s="10"/>
      <c r="J5" s="10"/>
    </row>
    <row r="6" spans="1:12">
      <c r="A6" s="12" t="s">
        <v>22</v>
      </c>
      <c r="B6" s="10"/>
      <c r="C6" s="12" t="s">
        <v>187</v>
      </c>
      <c r="D6" s="12"/>
      <c r="F6" s="10"/>
      <c r="G6" s="12" t="s">
        <v>192</v>
      </c>
      <c r="H6" s="12"/>
      <c r="I6" s="10"/>
      <c r="J6" s="10"/>
      <c r="K6" s="2" t="s">
        <v>196</v>
      </c>
    </row>
    <row r="7" spans="1:12">
      <c r="C7" t="s">
        <v>327</v>
      </c>
      <c r="D7" t="s">
        <v>330</v>
      </c>
      <c r="G7" t="s">
        <v>327</v>
      </c>
      <c r="H7" t="s">
        <v>328</v>
      </c>
      <c r="I7" t="s">
        <v>7</v>
      </c>
      <c r="K7" t="s">
        <v>328</v>
      </c>
      <c r="L7" t="s">
        <v>329</v>
      </c>
    </row>
    <row r="8" spans="1:12">
      <c r="C8">
        <v>1</v>
      </c>
      <c r="D8" t="s">
        <v>188</v>
      </c>
      <c r="G8">
        <v>1</v>
      </c>
      <c r="H8" t="s">
        <v>193</v>
      </c>
      <c r="I8">
        <v>10</v>
      </c>
      <c r="K8" t="s">
        <v>193</v>
      </c>
      <c r="L8" t="s">
        <v>197</v>
      </c>
    </row>
    <row r="9" spans="1:12">
      <c r="C9">
        <v>2</v>
      </c>
      <c r="D9" t="s">
        <v>189</v>
      </c>
      <c r="G9">
        <v>1</v>
      </c>
      <c r="H9" t="s">
        <v>194</v>
      </c>
      <c r="I9">
        <v>15</v>
      </c>
      <c r="K9" t="s">
        <v>194</v>
      </c>
      <c r="L9" t="s">
        <v>198</v>
      </c>
    </row>
    <row r="10" spans="1:12">
      <c r="C10">
        <v>3</v>
      </c>
      <c r="D10" t="s">
        <v>190</v>
      </c>
      <c r="G10">
        <v>2</v>
      </c>
      <c r="H10" t="s">
        <v>193</v>
      </c>
      <c r="I10">
        <v>20</v>
      </c>
      <c r="K10" t="s">
        <v>195</v>
      </c>
      <c r="L10" t="s">
        <v>199</v>
      </c>
    </row>
    <row r="11" spans="1:12">
      <c r="C11">
        <v>4</v>
      </c>
      <c r="D11" t="s">
        <v>191</v>
      </c>
      <c r="G11">
        <v>2</v>
      </c>
      <c r="H11" t="s">
        <v>194</v>
      </c>
      <c r="I11">
        <v>15</v>
      </c>
    </row>
    <row r="12" spans="1:12">
      <c r="G12">
        <v>2</v>
      </c>
      <c r="H12" t="s">
        <v>195</v>
      </c>
      <c r="I12">
        <v>14</v>
      </c>
    </row>
    <row r="13" spans="1:12">
      <c r="G13">
        <v>3</v>
      </c>
      <c r="H13" t="s">
        <v>194</v>
      </c>
      <c r="I13">
        <v>50</v>
      </c>
    </row>
    <row r="14" spans="1:12">
      <c r="G14">
        <v>3</v>
      </c>
      <c r="H14" t="s">
        <v>195</v>
      </c>
      <c r="I14">
        <v>45</v>
      </c>
    </row>
    <row r="15" spans="1:12">
      <c r="G15">
        <v>4</v>
      </c>
      <c r="H15" t="s">
        <v>193</v>
      </c>
      <c r="I15">
        <v>5</v>
      </c>
    </row>
    <row r="16" spans="1:12">
      <c r="G16">
        <v>4</v>
      </c>
      <c r="H16" t="s">
        <v>194</v>
      </c>
      <c r="I16">
        <v>7</v>
      </c>
    </row>
    <row r="19" spans="1:12">
      <c r="A19" s="2" t="s">
        <v>27</v>
      </c>
      <c r="D19" s="2" t="e">
        <f ca="1">_1__xlfn.FORMULATEXT(D20)</f>
        <v>#NAME?</v>
      </c>
      <c r="H19" s="2" t="e">
        <f ca="1">_1__xlfn.FORMULATEXT(H20)</f>
        <v>#NAME?</v>
      </c>
      <c r="L19" s="2" t="e">
        <f ca="1">_1__xlfn.FORMULATEXT(L20)</f>
        <v>#NAME?</v>
      </c>
    </row>
    <row r="20" spans="1:12" ht="67.25" customHeight="1">
      <c r="D20" s="1" t="str">
        <f>relRange(C7:D11)</f>
        <v>pid::pname _x000D_
1::Sprocket _x000D_
2::Screw _x000D_
3::Nut _x000D_
4::Bolt</v>
      </c>
      <c r="H20" s="1" t="str">
        <f>relRange(G7:I16)</f>
        <v>pid::eid::price _x000D_
1::HAL::10 _x000D_
1::RBT::15 _x000D_
2::HAL::20 _x000D_
2::RBT::15 _x000D_
2::TNBC::14 _x000D_
3::RBT::50 _x000D_
3::TNBC::45 _x000D_
4::HAL::5 _x000D_
4::RBT::7</v>
      </c>
      <c r="L20" s="1" t="str">
        <f>relRange(K7:L10)</f>
        <v>eid::ename _x000D_
HAL::Clarke Entreprises _x000D_
RBT::Susan Calvin Corp. _x000D_
TNBC::Skellington Supplies</v>
      </c>
    </row>
    <row r="21" spans="1:12">
      <c r="D21" s="1"/>
      <c r="H21" s="13"/>
      <c r="L21" s="1"/>
    </row>
    <row r="22" spans="1:12">
      <c r="H22" s="13"/>
    </row>
    <row r="23" spans="1:12">
      <c r="A23" s="2" t="s">
        <v>200</v>
      </c>
      <c r="H23" s="2" t="e">
        <f ca="1">_1__xlfn.FORMULATEXT(H24)</f>
        <v>#NAME?</v>
      </c>
    </row>
    <row r="24" spans="1:12" ht="78">
      <c r="H24" s="13" t="str">
        <f>relProject(pieces,"pname")</f>
        <v>pname _x000D_
Sprocket _x000D_
Screw _x000D_
Nut _x000D_
Bolt</v>
      </c>
    </row>
    <row r="26" spans="1:12">
      <c r="A26" s="2" t="s">
        <v>201</v>
      </c>
      <c r="H26" s="2" t="e">
        <f ca="1">_1__xlfn.FORMULATEXT(H27)</f>
        <v>#NAME?</v>
      </c>
    </row>
    <row r="27" spans="1:12" ht="78">
      <c r="H27" s="13" t="str">
        <f>relProject(provides,"pid::price AVG")</f>
        <v>pid::price_avg _x000D_
1::12.5 _x000D_
2::16.3333333333333 _x000D_
3::47.5 _x000D_
4::6</v>
      </c>
    </row>
    <row r="29" spans="1:12">
      <c r="A29" s="2" t="s">
        <v>202</v>
      </c>
      <c r="H29" s="2" t="e">
        <f ca="1">_1__xlfn.FORMULATEXT(H30)</f>
        <v>#NAME?</v>
      </c>
      <c r="I29" s="2"/>
      <c r="J29" s="2"/>
    </row>
    <row r="30" spans="1:12" ht="46.75">
      <c r="H30" s="25" t="str">
        <f>relFilter(provides,"S %pid=1",providers,"J NATURAL","P ename")</f>
        <v>ename _x000D_
Clarke Entreprises _x000D_
Susan Calvin Corp.</v>
      </c>
      <c r="I30" s="13"/>
      <c r="J30" s="13"/>
    </row>
    <row r="31" spans="1:12">
      <c r="H31" s="13"/>
      <c r="I31" s="13"/>
      <c r="J31" s="13"/>
    </row>
    <row r="32" spans="1:12">
      <c r="A32" s="2" t="s">
        <v>203</v>
      </c>
      <c r="H32" s="2" t="e">
        <f ca="1">_1__xlfn.FORMULATEXT(H33)</f>
        <v>#NAME?</v>
      </c>
      <c r="I32" s="2"/>
      <c r="J32" s="2"/>
    </row>
    <row r="33" spans="1:11" ht="62.5">
      <c r="H33" s="13" t="str">
        <f>relFilter(providers,"S $eid=""HAL""",provides,"J NATURAL",pieces,"J NATURAL","P pname")</f>
        <v>pname _x000D_
Sprocket _x000D_
Screw _x000D_
Bolt</v>
      </c>
      <c r="I33" s="13"/>
      <c r="J33" s="13"/>
    </row>
    <row r="35" spans="1:11">
      <c r="A35" s="2" t="s">
        <v>204</v>
      </c>
    </row>
    <row r="36" spans="1:11">
      <c r="G36" s="15"/>
      <c r="H36" s="2" t="e">
        <f ca="1">_1__xlfn.FORMULATEXT(H37)</f>
        <v>#NAME?</v>
      </c>
      <c r="I36" s="15"/>
      <c r="J36" s="15"/>
      <c r="K36" s="15"/>
    </row>
    <row r="37" spans="1:11" ht="79.25" customHeight="1">
      <c r="G37" s="13"/>
      <c r="H37" s="1" t="str">
        <f>relFilter(provides,"P pid::price MAX","R price_max price")</f>
        <v>pid::price _x000D_
1::15 _x000D_
2::20 _x000D_
3::50 _x000D_
4::7</v>
      </c>
      <c r="I37" s="13"/>
      <c r="J37" s="13"/>
      <c r="K37" s="13"/>
    </row>
    <row r="38" spans="1:11" ht="13.75" customHeight="1">
      <c r="G38" s="13"/>
      <c r="H38" s="2" t="e">
        <f ca="1">_1__xlfn.FORMULATEXT(H39)</f>
        <v>#NAME?</v>
      </c>
      <c r="I38" s="13"/>
      <c r="J38" s="13"/>
      <c r="K38" s="13"/>
    </row>
    <row r="39" spans="1:11" ht="78">
      <c r="H39" s="13" t="str">
        <f>relFilter(provides,H37,"J NATURAL",providers,"J NATURAL",pieces,"J NATURAL","P pname::ename::price")</f>
        <v>pname::ename::price _x000D_
Sprocket::Susan Calvin Corp.::15 _x000D_
Screw::Clarke Entreprises::20 _x000D_
Nut::Susan Calvin Corp.::50 _x000D_
Bolt::Susan Calvin Corp.::7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J57"/>
  <sheetViews>
    <sheetView showRuler="0" workbookViewId="0">
      <selection activeCell="E41" sqref="E41"/>
    </sheetView>
  </sheetViews>
  <sheetFormatPr baseColWidth="10" defaultRowHeight="15" x14ac:dyDescent="0"/>
  <cols>
    <col min="2" max="2" width="23.6640625" customWidth="1"/>
    <col min="3" max="3" width="6" customWidth="1"/>
    <col min="4" max="4" width="7" customWidth="1"/>
    <col min="6" max="6" width="2.33203125" customWidth="1"/>
    <col min="9" max="9" width="80.5" customWidth="1"/>
    <col min="10" max="10" width="38.83203125" customWidth="1"/>
  </cols>
  <sheetData>
    <row r="1" spans="1:10">
      <c r="A1" s="2" t="s">
        <v>205</v>
      </c>
    </row>
    <row r="2" spans="1:10">
      <c r="A2" s="2" t="s">
        <v>206</v>
      </c>
      <c r="G2" s="2" t="s">
        <v>211</v>
      </c>
      <c r="I2" s="2" t="s">
        <v>227</v>
      </c>
      <c r="J2" s="2" t="s">
        <v>228</v>
      </c>
    </row>
    <row r="3" spans="1:10" ht="135.5" customHeight="1">
      <c r="A3" s="2"/>
      <c r="G3" s="2"/>
      <c r="I3" s="18" t="str">
        <f>relFilter(I12,I13&amp;prelNewline()&amp;I20&amp;prelNewline()&amp;I22,"U")</f>
        <v>Compte::Label::Avoir::Devoir _x000D_
1100::Caisse::2913:: _x000D_
1200::CCP::4100.5:: _x000D_
2800::Capital::::6425.5 _x000D_
::PROFIT:: ::-588.00 _x000D_
::TOTAL::6425.5::6425.5</v>
      </c>
      <c r="J3" s="18" t="str">
        <f>relFilter(I14,I15&amp;prelNewline()&amp;I21&amp;prelNewline()&amp;I23,"U")</f>
        <v>Compte::Label::Avoir::Devoir _x000D_
3100::Achats::600:: _x000D_
3800::Salaires::1500:: _x000D_
4000::Vente::::2688 _x000D_
::PROFIT::-588.00:: _x000D_
::TOTAL::2688::2688</v>
      </c>
    </row>
    <row r="4" spans="1:10" ht="16" customHeight="1">
      <c r="A4" s="2"/>
      <c r="G4" s="2"/>
      <c r="I4" s="18"/>
      <c r="J4" s="18"/>
    </row>
    <row r="5" spans="1:10" ht="16" customHeight="1">
      <c r="A5" s="2"/>
      <c r="G5" s="2"/>
      <c r="I5" s="21" t="s">
        <v>249</v>
      </c>
      <c r="J5" s="18"/>
    </row>
    <row r="6" spans="1:10" ht="16" customHeight="1">
      <c r="A6" s="2"/>
      <c r="G6" s="2"/>
      <c r="I6" s="13" t="str">
        <f>relRange(A24:E107)</f>
        <v>Date::Label::Avoir::Devoir::Montant _x000D_
01.01.2016::OUVERTURE CAISSE::1100::9000::225 _x000D_
01.01.2016::OUVERTURE CCP::1200::9000::6200.5 _x000D_
01.01.2016::OUVERTURE Capital::9000::2800::6425.5 _x000D_
06.01.2016::Vente livres::1100::4000::249 _x000D_
07.01.2016::Achat livres::3100::1200::480 _x000D_
15.01.2016::Vente livres::1100::4000::78 _x000D_
20.01.2016::Vente livres::1100::4000::145 _x000D_
25.01.2016::Salaire::3800::1200::750 _x000D_
25.01.2016::Achat livres::3100::1200::120 _x000D_
26.01.2016::Vente livres::1100::4000::22 _x000D_
02.02.2016::Vente livres::1100::4000::80 _x000D_
04.01.2016::Vente livres::1100::4000::245 _x000D_
11.02.2016::Vente livres::1100::4000::320 _x000D_
16.02.2016::Vente livres::1100::4000::110 _x000D_
25.02.2016::Salaire::3800::1200::750 _x000D_
27.02.2016::Vente livres::1100::4000::1250 _x000D_
28.02.2016::Vente livres::1100::4000::189 _x000D_
::::::::</v>
      </c>
      <c r="J6" s="8" t="s">
        <v>233</v>
      </c>
    </row>
    <row r="7" spans="1:10" ht="16" customHeight="1">
      <c r="A7" s="2"/>
      <c r="G7" s="2"/>
      <c r="I7" s="13" t="str">
        <f>relExtend(journal,"-%Montant","Montant2")</f>
        <v>Date::Label::Avoir::Devoir::Montant::Montant2 _x000D_
01.01.2016::OUVERTURE CAISSE::1100::9000::225::-225 _x000D_
01.01.2016::OUVERTURE CCP::1200::9000::6200.5::-6200.5 _x000D_
01.01.2016::OUVERTURE Capital::9000::2800::6425.5::-6425.5 _x000D_
06.01.2016::Vente livres::1100::4000::249::-249 _x000D_
07.01.2016::Achat livres::3100::1200::480::-480 _x000D_
15.01.2016::Vente livres::1100::4000::78::-78 _x000D_
20.01.2016::Vente livres::1100::4000::145::-145 _x000D_
25.01.2016::Salaire::3800::1200::750::-750 _x000D_
25.01.2016::Achat livres::3100::1200::120::-120 _x000D_
26.01.2016::Vente livres::1100::4000::22::-22 _x000D_
02.02.2016::Vente livres::1100::4000::80::-80 _x000D_
04.01.2016::Vente livres::1100::4000::245::-245 _x000D_
11.02.2016::Vente livres::1100::4000::320::-320 _x000D_
16.02.2016::Vente livres::1100::4000::110::-110 _x000D_
25.02.2016::Salaire::3800::1200::750::-750 _x000D_
27.02.2016::Vente livres::1100::4000::1250::-1250 _x000D_
28.02.2016::Vente livres::1100::4000::189::-189 _x000D_
::::::::::0</v>
      </c>
      <c r="J7" s="8" t="s">
        <v>234</v>
      </c>
    </row>
    <row r="8" spans="1:10">
      <c r="A8" s="2"/>
      <c r="G8" s="2"/>
      <c r="I8" s="17" t="str">
        <f>relProject(I7,"Date::Label::Avoir::Montant")</f>
        <v>Date::Label::Avoir::Montant _x000D_
01.01.2016::OUVERTURE CAISSE::1100::225 _x000D_
01.01.2016::OUVERTURE CCP::1200::6200.5 _x000D_
01.01.2016::OUVERTURE Capital::9000::6425.5 _x000D_
06.01.2016::Vente livres::1100::249 _x000D_
07.01.2016::Achat livres::3100::480 _x000D_
15.01.2016::Vente livres::1100::78 _x000D_
20.01.2016::Vente livres::1100::145 _x000D_
25.01.2016::Salaire::3800::750 _x000D_
25.01.2016::Achat livres::3100::120 _x000D_
26.01.2016::Vente livres::1100::22 _x000D_
02.02.2016::Vente livres::1100::80 _x000D_
04.01.2016::Vente livres::1100::245 _x000D_
11.02.2016::Vente livres::1100::320 _x000D_
16.02.2016::Vente livres::1100::110 _x000D_
25.02.2016::Salaire::3800::750 _x000D_
27.02.2016::Vente livres::1100::1250 _x000D_
28.02.2016::Vente livres::1100::189 _x000D_
::::::</v>
      </c>
      <c r="J8" s="8" t="s">
        <v>235</v>
      </c>
    </row>
    <row r="9" spans="1:10">
      <c r="A9" s="2"/>
      <c r="G9" s="2"/>
      <c r="I9" s="17" t="str">
        <f>relRename(relProject(I7,"Date::Label::Devoir::Montant2"),"Devoir Avoir::Montant2 Montant")</f>
        <v>Date::Label::Avoir::Montant _x000D_
01.01.2016::OUVERTURE CAISSE::9000::-225 _x000D_
01.01.2016::OUVERTURE CCP::9000::-6200.5 _x000D_
01.01.2016::OUVERTURE Capital::2800::-6425.5 _x000D_
06.01.2016::Vente livres::4000::-249 _x000D_
07.01.2016::Achat livres::1200::-480 _x000D_
15.01.2016::Vente livres::4000::-78 _x000D_
20.01.2016::Vente livres::4000::-145 _x000D_
25.01.2016::Salaire::1200::-750 _x000D_
25.01.2016::Achat livres::1200::-120 _x000D_
26.01.2016::Vente livres::4000::-22 _x000D_
02.02.2016::Vente livres::4000::-80 _x000D_
04.01.2016::Vente livres::4000::-245 _x000D_
11.02.2016::Vente livres::4000::-320 _x000D_
16.02.2016::Vente livres::4000::-110 _x000D_
25.02.2016::Salaire::1200::-750 _x000D_
27.02.2016::Vente livres::4000::-1250 _x000D_
28.02.2016::Vente livres::4000::-189 _x000D_
::::::0</v>
      </c>
      <c r="J9" s="8" t="s">
        <v>236</v>
      </c>
    </row>
    <row r="10" spans="1:10" ht="112.25" customHeight="1">
      <c r="A10" s="2"/>
      <c r="G10" s="2"/>
      <c r="I10" s="1" t="str">
        <f>relUnion(I8,I9)</f>
        <v>Date::Label::Avoir::Montant _x000D_
01.01.2016::OUVERTURE CAISSE::1100::225 _x000D_
01.01.2016::OUVERTURE CCP::1200::6200.5 _x000D_
01.01.2016::OUVERTURE Capital::9000::6425.5 _x000D_
06.01.2016::Vente livres::1100::249 _x000D_
07.01.2016::Achat livres::3100::480 _x000D_
15.01.2016::Vente livres::1100::78 _x000D_
20.01.2016::Vente livres::1100::145 _x000D_
25.01.2016::Salaire::3800::750 _x000D_
25.01.2016::Achat livres::3100::120 _x000D_
26.01.2016::Vente livres::1100::22 _x000D_
02.02.2016::Vente livres::1100::80 _x000D_
04.01.2016::Vente livres::1100::245 _x000D_
11.02.2016::Vente livres::1100::320 _x000D_
16.02.2016::Vente livres::1100::110 _x000D_
25.02.2016::Salaire::3800::750 _x000D_
27.02.2016::Vente livres::1100::1250 _x000D_
28.02.2016::Vente livres::1100::189 _x000D_
:::::: _x000D_
01.01.2016::OUVERTURE CAISSE::9000::-225 _x000D_
01.01.2016::OUVERTURE CCP::9000::-6200.5 _x000D_
01.01.2016::OUVERTURE Capital::2800::-6425.5 _x000D_
06.01.2016::Vente livres::4000::-249 _x000D_
07.01.2016::Achat livres::1200::-480 _x000D_
15.01.2016::Vente livres::4000::-78 _x000D_
20.01.2016::Vente livres::4000::-145 _x000D_
25.01.2016::Salaire::1200::-750 _x000D_
25.01.2016::Achat livres::1200::-120 _x000D_
26.01.2016::Vente livres::4000::-22 _x000D_
02.02.2016::Vente livres::4000::-80 _x000D_
04.01.2016::Vente livres::4000::-245 _x000D_
11.02.2016::Vente livres::4000::-320 _x000D_
16.02.2016::Vente livres::4000::-110 _x000D_
25.02.2016::Salaire::1200::-750 _x000D_
27.02.2016::Vente livres::4000::-1250 _x000D_
28.02.2016::Vente livres::4000::-189 _x000D_
::::::0</v>
      </c>
      <c r="J10" s="8" t="s">
        <v>237</v>
      </c>
    </row>
    <row r="11" spans="1:10" ht="113.5" customHeight="1">
      <c r="A11" s="2"/>
      <c r="G11" s="2"/>
      <c r="I11" s="1" t="str">
        <f>relFilter(I10,"P Avoir::Montant SUM","R Avoir Compte",G24:H32,"J NATURAL","E Groupe LEFT($Compte,1)")</f>
        <v>Compte::Montant_sum::Label::Groupe _x000D_
3100::600::Achats::3 _x000D_
3800::1500::Salaires::3 _x000D_
1100::2913::Caisse::1 _x000D_
9000::0::Ouverture::9 _x000D_
2800::-6425.5::Capital::2 _x000D_
1200::4100.5::CCP::1 _x000D_
4000::-2688::Vente::4</v>
      </c>
      <c r="J11" s="8" t="s">
        <v>238</v>
      </c>
    </row>
    <row r="12" spans="1:10">
      <c r="A12" s="2"/>
      <c r="G12" s="2"/>
      <c r="I12" s="17" t="str">
        <f>relFilter($I$11,"S %Groupe=1","E Avoir %Montant_sum","E Devoir """"","P Compte::Label::Avoir::Devoir")</f>
        <v>Compte::Label::Avoir::Devoir _x000D_
1100::Caisse::2913:: _x000D_
1200::CCP::4100.5::</v>
      </c>
      <c r="J12" s="8" t="s">
        <v>239</v>
      </c>
    </row>
    <row r="13" spans="1:10">
      <c r="A13" s="2"/>
      <c r="G13" s="2"/>
      <c r="I13" s="17" t="str">
        <f>relFilter($I$11,"S %Groupe=2","E Devoir -%Montant_sum","E Avoir """"","P Compte::Label::Avoir::Devoir")</f>
        <v>Compte::Label::Avoir::Devoir _x000D_
2800::Capital::::6425.5</v>
      </c>
      <c r="J13" s="8" t="s">
        <v>240</v>
      </c>
    </row>
    <row r="14" spans="1:10">
      <c r="A14" s="2"/>
      <c r="G14" s="2"/>
      <c r="I14" s="17" t="str">
        <f>relFilter($I$11,"S %Groupe=3","E Avoir %Montant_sum","E Devoir """"","P Compte::Label::Avoir::Devoir")</f>
        <v>Compte::Label::Avoir::Devoir _x000D_
3100::Achats::600:: _x000D_
3800::Salaires::1500::</v>
      </c>
      <c r="J14" s="8" t="s">
        <v>241</v>
      </c>
    </row>
    <row r="15" spans="1:10">
      <c r="A15" s="2"/>
      <c r="G15" s="2"/>
      <c r="I15" s="17" t="str">
        <f>relFilter($I$11,"S %Groupe=4","E Devoir -%Montant_sum","E Avoir """"","P Compte::Label::Avoir::Devoir")</f>
        <v>Compte::Label::Avoir::Devoir _x000D_
4000::Vente::::2688</v>
      </c>
      <c r="J15" s="8" t="s">
        <v>242</v>
      </c>
    </row>
    <row r="16" spans="1:10">
      <c r="A16" s="2"/>
      <c r="G16" s="2"/>
      <c r="I16" s="17">
        <f>relFilter(I12,"P Avoir SUM","Z")</f>
        <v>7013.5</v>
      </c>
      <c r="J16" s="8" t="s">
        <v>243</v>
      </c>
    </row>
    <row r="17" spans="1:10">
      <c r="A17" s="2"/>
      <c r="G17" s="2"/>
      <c r="I17" s="17">
        <f>relFilter(I13,"P Devoir SUM","Z")</f>
        <v>6425.5</v>
      </c>
      <c r="J17" s="8" t="s">
        <v>244</v>
      </c>
    </row>
    <row r="18" spans="1:10">
      <c r="A18" s="2"/>
      <c r="G18" s="2"/>
      <c r="I18" s="17">
        <f>relFilter(I14,"P Avoir SUM","Z")</f>
        <v>2100</v>
      </c>
      <c r="J18" s="8" t="s">
        <v>246</v>
      </c>
    </row>
    <row r="19" spans="1:10">
      <c r="A19" s="2"/>
      <c r="G19" s="2"/>
      <c r="I19" s="17">
        <f>relFilter(I15,"P Devoir SUM","Z")</f>
        <v>2688</v>
      </c>
      <c r="J19" s="8" t="s">
        <v>247</v>
      </c>
    </row>
    <row r="20" spans="1:10">
      <c r="A20" s="2"/>
      <c r="G20" s="2"/>
      <c r="I20" s="17" t="str">
        <f>"::PROFIT:: ::"&amp;TEXT(I16-I17,"-0.00")</f>
        <v>::PROFIT:: ::-588.00</v>
      </c>
      <c r="J20" s="8" t="s">
        <v>245</v>
      </c>
    </row>
    <row r="21" spans="1:10">
      <c r="A21" s="2"/>
      <c r="G21" s="2"/>
      <c r="I21" s="17" t="str">
        <f>"::PROFIT::"&amp;TEXT(I19-I18,"-0.00")&amp;"::"</f>
        <v>::PROFIT::-588.00::</v>
      </c>
      <c r="J21" s="8" t="s">
        <v>245</v>
      </c>
    </row>
    <row r="22" spans="1:10">
      <c r="A22" s="2"/>
      <c r="G22" s="2"/>
      <c r="I22" s="17" t="str">
        <f>"::TOTAL::"&amp;I17&amp;"::"&amp;I17</f>
        <v>::TOTAL::6425.5::6425.5</v>
      </c>
      <c r="J22" s="8" t="s">
        <v>375</v>
      </c>
    </row>
    <row r="23" spans="1:10">
      <c r="A23" s="2"/>
      <c r="G23" s="2"/>
      <c r="I23" s="17" t="str">
        <f>"::TOTAL::"&amp;I19&amp;"::"&amp;I19</f>
        <v>::TOTAL::2688::2688</v>
      </c>
      <c r="J23" s="8" t="s">
        <v>248</v>
      </c>
    </row>
    <row r="24" spans="1:10">
      <c r="A24" t="s">
        <v>207</v>
      </c>
      <c r="B24" t="s">
        <v>213</v>
      </c>
      <c r="C24" t="s">
        <v>208</v>
      </c>
      <c r="D24" t="s">
        <v>209</v>
      </c>
      <c r="E24" t="s">
        <v>210</v>
      </c>
      <c r="G24" t="s">
        <v>212</v>
      </c>
      <c r="H24" t="s">
        <v>213</v>
      </c>
      <c r="I24" s="17"/>
      <c r="J24" s="2"/>
    </row>
    <row r="25" spans="1:10">
      <c r="A25" s="6">
        <v>42370</v>
      </c>
      <c r="B25" t="s">
        <v>221</v>
      </c>
      <c r="C25">
        <v>1100</v>
      </c>
      <c r="D25">
        <v>9000</v>
      </c>
      <c r="E25" s="16">
        <v>225</v>
      </c>
      <c r="F25" s="16"/>
      <c r="G25">
        <v>1100</v>
      </c>
      <c r="H25" t="s">
        <v>214</v>
      </c>
      <c r="I25" s="17"/>
      <c r="J25" s="2"/>
    </row>
    <row r="26" spans="1:10">
      <c r="A26" s="6">
        <v>42370</v>
      </c>
      <c r="B26" t="s">
        <v>232</v>
      </c>
      <c r="C26">
        <v>1200</v>
      </c>
      <c r="D26">
        <v>9000</v>
      </c>
      <c r="E26" s="16">
        <v>6200.5</v>
      </c>
      <c r="G26">
        <v>1200</v>
      </c>
      <c r="H26" t="s">
        <v>222</v>
      </c>
      <c r="I26" s="17"/>
      <c r="J26" s="2"/>
    </row>
    <row r="27" spans="1:10">
      <c r="A27" s="6">
        <v>42370</v>
      </c>
      <c r="B27" t="s">
        <v>223</v>
      </c>
      <c r="C27">
        <v>9000</v>
      </c>
      <c r="D27">
        <v>2800</v>
      </c>
      <c r="E27" s="16">
        <v>6425.5</v>
      </c>
      <c r="G27">
        <v>2800</v>
      </c>
      <c r="H27" t="s">
        <v>215</v>
      </c>
      <c r="I27" s="17"/>
      <c r="J27" s="2"/>
    </row>
    <row r="28" spans="1:10">
      <c r="A28" s="6">
        <v>42375</v>
      </c>
      <c r="B28" t="s">
        <v>226</v>
      </c>
      <c r="C28">
        <v>1100</v>
      </c>
      <c r="D28">
        <v>4000</v>
      </c>
      <c r="E28" s="16">
        <v>249</v>
      </c>
      <c r="G28">
        <v>3100</v>
      </c>
      <c r="H28" t="s">
        <v>216</v>
      </c>
      <c r="I28" s="17"/>
      <c r="J28" s="2"/>
    </row>
    <row r="29" spans="1:10">
      <c r="A29" s="6">
        <v>42376</v>
      </c>
      <c r="B29" t="s">
        <v>224</v>
      </c>
      <c r="C29">
        <v>3100</v>
      </c>
      <c r="D29">
        <v>1200</v>
      </c>
      <c r="E29" s="16">
        <v>480</v>
      </c>
      <c r="G29">
        <v>3800</v>
      </c>
      <c r="H29" t="s">
        <v>217</v>
      </c>
      <c r="I29" s="17"/>
      <c r="J29" s="2"/>
    </row>
    <row r="30" spans="1:10">
      <c r="A30" s="6">
        <v>42384</v>
      </c>
      <c r="B30" t="s">
        <v>226</v>
      </c>
      <c r="C30">
        <v>1100</v>
      </c>
      <c r="D30">
        <v>4000</v>
      </c>
      <c r="E30" s="16">
        <v>78</v>
      </c>
      <c r="G30">
        <v>4000</v>
      </c>
      <c r="H30" t="s">
        <v>218</v>
      </c>
      <c r="I30" s="17"/>
      <c r="J30" s="2"/>
    </row>
    <row r="31" spans="1:10">
      <c r="A31" s="6">
        <v>42389</v>
      </c>
      <c r="B31" t="s">
        <v>226</v>
      </c>
      <c r="C31">
        <v>1100</v>
      </c>
      <c r="D31">
        <v>4000</v>
      </c>
      <c r="E31" s="16">
        <v>145</v>
      </c>
      <c r="G31">
        <v>9000</v>
      </c>
      <c r="H31" t="s">
        <v>219</v>
      </c>
      <c r="I31" s="17"/>
      <c r="J31" s="2"/>
    </row>
    <row r="32" spans="1:10">
      <c r="A32" s="6">
        <v>42394</v>
      </c>
      <c r="B32" t="s">
        <v>225</v>
      </c>
      <c r="C32">
        <v>3800</v>
      </c>
      <c r="D32">
        <v>1200</v>
      </c>
      <c r="E32" s="16">
        <v>750</v>
      </c>
      <c r="G32">
        <v>9001</v>
      </c>
      <c r="H32" t="s">
        <v>220</v>
      </c>
      <c r="I32" s="17"/>
      <c r="J32" s="2"/>
    </row>
    <row r="33" spans="1:10">
      <c r="A33" s="6">
        <v>42394</v>
      </c>
      <c r="B33" t="s">
        <v>224</v>
      </c>
      <c r="C33">
        <v>3100</v>
      </c>
      <c r="D33">
        <v>1200</v>
      </c>
      <c r="E33" s="16">
        <v>120</v>
      </c>
      <c r="I33" s="17"/>
      <c r="J33" s="2"/>
    </row>
    <row r="34" spans="1:10">
      <c r="A34" s="6">
        <v>42395</v>
      </c>
      <c r="B34" t="s">
        <v>226</v>
      </c>
      <c r="C34">
        <v>1100</v>
      </c>
      <c r="D34">
        <v>4000</v>
      </c>
      <c r="E34" s="16">
        <v>22</v>
      </c>
      <c r="I34" s="17"/>
      <c r="J34" s="2"/>
    </row>
    <row r="35" spans="1:10">
      <c r="A35" s="6">
        <v>42402</v>
      </c>
      <c r="B35" t="s">
        <v>226</v>
      </c>
      <c r="C35">
        <v>1100</v>
      </c>
      <c r="D35">
        <v>4000</v>
      </c>
      <c r="E35" s="16">
        <v>80</v>
      </c>
      <c r="I35" s="17"/>
      <c r="J35" s="2"/>
    </row>
    <row r="36" spans="1:10">
      <c r="A36" s="6">
        <v>42373</v>
      </c>
      <c r="B36" t="s">
        <v>226</v>
      </c>
      <c r="C36">
        <v>1100</v>
      </c>
      <c r="D36">
        <v>4000</v>
      </c>
      <c r="E36" s="16">
        <v>245</v>
      </c>
      <c r="I36" s="17"/>
      <c r="J36" s="2"/>
    </row>
    <row r="37" spans="1:10">
      <c r="A37" s="6">
        <v>42411</v>
      </c>
      <c r="B37" t="s">
        <v>226</v>
      </c>
      <c r="C37">
        <v>1100</v>
      </c>
      <c r="D37">
        <v>4000</v>
      </c>
      <c r="E37" s="16">
        <v>320</v>
      </c>
      <c r="I37" s="17"/>
      <c r="J37" s="2"/>
    </row>
    <row r="38" spans="1:10">
      <c r="A38" s="6">
        <v>42416</v>
      </c>
      <c r="B38" t="s">
        <v>226</v>
      </c>
      <c r="C38">
        <v>1100</v>
      </c>
      <c r="D38">
        <v>4000</v>
      </c>
      <c r="E38" s="16">
        <v>110</v>
      </c>
      <c r="I38" s="17"/>
      <c r="J38" s="2"/>
    </row>
    <row r="39" spans="1:10">
      <c r="A39" s="6">
        <v>42425</v>
      </c>
      <c r="B39" t="s">
        <v>225</v>
      </c>
      <c r="C39">
        <v>3800</v>
      </c>
      <c r="D39">
        <v>1200</v>
      </c>
      <c r="E39" s="16">
        <v>750</v>
      </c>
      <c r="I39" s="17"/>
      <c r="J39" s="2"/>
    </row>
    <row r="40" spans="1:10">
      <c r="A40" s="6">
        <v>42427</v>
      </c>
      <c r="B40" t="s">
        <v>226</v>
      </c>
      <c r="C40">
        <v>1100</v>
      </c>
      <c r="D40">
        <v>4000</v>
      </c>
      <c r="E40" s="16">
        <v>1250</v>
      </c>
      <c r="I40" s="17"/>
      <c r="J40" s="2"/>
    </row>
    <row r="41" spans="1:10">
      <c r="A41" s="6">
        <v>42428</v>
      </c>
      <c r="B41" t="s">
        <v>226</v>
      </c>
      <c r="C41">
        <v>1100</v>
      </c>
      <c r="D41">
        <v>4000</v>
      </c>
      <c r="E41" s="16">
        <v>189</v>
      </c>
      <c r="I41" s="17"/>
      <c r="J41" s="2"/>
    </row>
    <row r="42" spans="1:10">
      <c r="I42" s="17"/>
      <c r="J42" s="2"/>
    </row>
    <row r="43" spans="1:10">
      <c r="H43" s="16"/>
      <c r="I43" s="17"/>
      <c r="J43" s="2"/>
    </row>
    <row r="44" spans="1:10">
      <c r="I44" s="17"/>
      <c r="J44" s="2"/>
    </row>
    <row r="45" spans="1:10">
      <c r="I45" s="17"/>
      <c r="J45" s="2"/>
    </row>
    <row r="46" spans="1:10">
      <c r="I46" s="17"/>
      <c r="J46" s="2"/>
    </row>
    <row r="57" spans="9:9">
      <c r="I57" t="str">
        <f>relRange(I50:I55)</f>
        <v xml:space="preserve"> _x000D_
</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enableFormatConditionsCalculation="0"/>
  <dimension ref="A1:H40"/>
  <sheetViews>
    <sheetView showRuler="0" topLeftCell="A16" workbookViewId="0">
      <selection activeCell="C38" sqref="C38"/>
    </sheetView>
  </sheetViews>
  <sheetFormatPr baseColWidth="10" defaultRowHeight="15" x14ac:dyDescent="0"/>
  <cols>
    <col min="2" max="2" width="48.33203125" customWidth="1"/>
  </cols>
  <sheetData>
    <row r="1" spans="1:8">
      <c r="A1" s="2" t="s">
        <v>291</v>
      </c>
    </row>
    <row r="3" spans="1:8">
      <c r="D3" t="s">
        <v>109</v>
      </c>
      <c r="E3" t="s">
        <v>289</v>
      </c>
      <c r="F3" t="s">
        <v>290</v>
      </c>
      <c r="H3" t="s">
        <v>290</v>
      </c>
    </row>
    <row r="4" spans="1:8">
      <c r="D4">
        <v>1133311</v>
      </c>
      <c r="E4">
        <v>1000</v>
      </c>
    </row>
    <row r="5" spans="1:8">
      <c r="D5">
        <v>1212223</v>
      </c>
      <c r="E5">
        <v>1100</v>
      </c>
      <c r="F5">
        <v>1000</v>
      </c>
    </row>
    <row r="6" spans="1:8">
      <c r="D6">
        <v>1311332</v>
      </c>
      <c r="E6">
        <v>1200</v>
      </c>
      <c r="F6">
        <v>1000</v>
      </c>
    </row>
    <row r="7" spans="1:8">
      <c r="D7">
        <v>1201301</v>
      </c>
      <c r="E7">
        <v>1210</v>
      </c>
      <c r="F7">
        <v>1200</v>
      </c>
    </row>
    <row r="8" spans="1:8">
      <c r="D8">
        <v>1390131</v>
      </c>
      <c r="E8">
        <v>1220</v>
      </c>
      <c r="F8">
        <v>1200</v>
      </c>
    </row>
    <row r="9" spans="1:8">
      <c r="D9">
        <v>1901311</v>
      </c>
      <c r="E9">
        <v>1211</v>
      </c>
      <c r="F9">
        <v>1210</v>
      </c>
    </row>
    <row r="10" spans="1:8">
      <c r="D10">
        <v>1031010</v>
      </c>
      <c r="E10">
        <v>1212</v>
      </c>
      <c r="F10">
        <v>1210</v>
      </c>
    </row>
    <row r="11" spans="1:8">
      <c r="D11">
        <v>1391931</v>
      </c>
      <c r="E11">
        <v>1213</v>
      </c>
      <c r="F11">
        <v>1210</v>
      </c>
    </row>
    <row r="12" spans="1:8">
      <c r="B12" s="2" t="e">
        <f ca="1">_1__xlfn.FORMULATEXT(B13)</f>
        <v>#NAME?</v>
      </c>
    </row>
    <row r="13" spans="1:8">
      <c r="B13" t="str">
        <f>relRange(D3:F11)</f>
        <v>ssn::employee::manager _x000D_
1133311::1000:: _x000D_
1212223::1100::1000 _x000D_
1311332::1200::1000 _x000D_
1201301::1210::1200 _x000D_
1390131::1220::1200 _x000D_
1901311::1211::1210 _x000D_
1031010::1212::1210 _x000D_
1391931::1213::1210</v>
      </c>
      <c r="H13" t="str">
        <f>relRange(H3:H4)</f>
        <v xml:space="preserve">manager _x000D_
</v>
      </c>
    </row>
    <row r="14" spans="1:8">
      <c r="B14" s="2" t="e">
        <f ca="1">_1__xlfn.FORMULATEXT(B15)</f>
        <v>#NAME?</v>
      </c>
      <c r="C14" t="s">
        <v>290</v>
      </c>
      <c r="E14" t="s">
        <v>289</v>
      </c>
    </row>
    <row r="15" spans="1:8" ht="111" customHeight="1">
      <c r="B15" s="1" t="str">
        <f>relFixpoint(B13,C14,D14,E14)</f>
        <v>ssn::employee::manager _x000D_
1133311::1000:: _x000D_
1212223::1100::1000 _x000D_
1311332::1200::1000 _x000D_
1201301::1210::1200 _x000D_
1390131::1220::1200 _x000D_
1901311::1211::1210 _x000D_
1031010::1212::1210 _x000D_
1391931::1213::1210</v>
      </c>
    </row>
    <row r="16" spans="1:8">
      <c r="B16" s="2" t="e">
        <f ca="1">_1__xlfn.FORMULATEXT(B17)</f>
        <v>#NAME?</v>
      </c>
      <c r="C16" t="s">
        <v>289</v>
      </c>
      <c r="D16">
        <v>1211</v>
      </c>
      <c r="E16" t="s">
        <v>290</v>
      </c>
    </row>
    <row r="17" spans="1:7" ht="99" customHeight="1">
      <c r="B17" s="1" t="str">
        <f>relFixpoint(B13,C16,D16,E16)</f>
        <v>ssn::employee::manager _x000D_
1901311::1211::1210 _x000D_
1201301::1210::1200 _x000D_
1311332::1200::1000 _x000D_
1133311::1000::</v>
      </c>
    </row>
    <row r="18" spans="1:7">
      <c r="A18" t="s">
        <v>292</v>
      </c>
    </row>
    <row r="19" spans="1:7">
      <c r="A19" t="s">
        <v>293</v>
      </c>
    </row>
    <row r="20" spans="1:7">
      <c r="A20" t="s">
        <v>294</v>
      </c>
    </row>
    <row r="21" spans="1:7">
      <c r="D21" t="s">
        <v>295</v>
      </c>
      <c r="E21" t="s">
        <v>296</v>
      </c>
      <c r="F21" t="s">
        <v>297</v>
      </c>
      <c r="G21" t="s">
        <v>298</v>
      </c>
    </row>
    <row r="22" spans="1:7">
      <c r="D22" t="s">
        <v>299</v>
      </c>
      <c r="E22" t="s">
        <v>300</v>
      </c>
      <c r="F22" t="s">
        <v>301</v>
      </c>
      <c r="G22" t="s">
        <v>302</v>
      </c>
    </row>
    <row r="23" spans="1:7">
      <c r="D23" t="s">
        <v>303</v>
      </c>
      <c r="E23" t="s">
        <v>64</v>
      </c>
      <c r="F23" t="s">
        <v>304</v>
      </c>
      <c r="G23" t="s">
        <v>305</v>
      </c>
    </row>
    <row r="24" spans="1:7">
      <c r="D24" t="s">
        <v>122</v>
      </c>
      <c r="E24" t="s">
        <v>300</v>
      </c>
      <c r="F24" t="s">
        <v>304</v>
      </c>
      <c r="G24" t="s">
        <v>305</v>
      </c>
    </row>
    <row r="25" spans="1:7">
      <c r="D25" t="s">
        <v>304</v>
      </c>
      <c r="E25" t="s">
        <v>64</v>
      </c>
      <c r="F25" t="s">
        <v>306</v>
      </c>
      <c r="G25" t="s">
        <v>307</v>
      </c>
    </row>
    <row r="26" spans="1:7">
      <c r="D26" t="s">
        <v>302</v>
      </c>
      <c r="E26" t="s">
        <v>300</v>
      </c>
      <c r="F26" t="s">
        <v>308</v>
      </c>
      <c r="G26" t="s">
        <v>309</v>
      </c>
    </row>
    <row r="27" spans="1:7">
      <c r="B27" s="2" t="e">
        <f ca="1">_1__xlfn.FORMULATEXT(B28)</f>
        <v>#NAME?</v>
      </c>
    </row>
    <row r="28" spans="1:7" ht="97.75" customHeight="1">
      <c r="B28" s="1" t="str">
        <f>relRange(D21:G26)</f>
        <v>child::sex::mother::father _x000D_
Bob::M::Alice::Curt _x000D_
Diana::F::Elisabeth::Frank _x000D_
George::M::Elisabeth::Frank _x000D_
Elisabeth::F::Heather::Ian _x000D_
Curt::M::Julie::Karl</v>
      </c>
    </row>
    <row r="29" spans="1:7">
      <c r="B29" s="2" t="e">
        <f ca="1">_1__xlfn.FORMULATEXT(B30)</f>
        <v>#NAME?</v>
      </c>
    </row>
    <row r="30" spans="1:7" ht="51.5" customHeight="1">
      <c r="B30" s="1" t="str">
        <f>relFixpoint(B28,"child","Bob","father")</f>
        <v>child::sex::mother::father _x000D_
Bob::M::Alice::Curt _x000D_
Curt::M::Julie::Karl</v>
      </c>
    </row>
    <row r="31" spans="1:7">
      <c r="D31" t="s">
        <v>312</v>
      </c>
      <c r="E31" t="s">
        <v>313</v>
      </c>
      <c r="F31" t="s">
        <v>310</v>
      </c>
      <c r="G31" t="s">
        <v>311</v>
      </c>
    </row>
    <row r="32" spans="1:7">
      <c r="D32" t="s">
        <v>314</v>
      </c>
      <c r="E32" t="s">
        <v>315</v>
      </c>
      <c r="F32" t="s">
        <v>316</v>
      </c>
      <c r="G32" t="s">
        <v>317</v>
      </c>
    </row>
    <row r="33" spans="2:7">
      <c r="D33" t="s">
        <v>314</v>
      </c>
      <c r="E33" t="s">
        <v>315</v>
      </c>
      <c r="F33" t="s">
        <v>318</v>
      </c>
      <c r="G33" t="s">
        <v>319</v>
      </c>
    </row>
    <row r="34" spans="2:7">
      <c r="D34" t="s">
        <v>315</v>
      </c>
      <c r="E34" t="s">
        <v>320</v>
      </c>
      <c r="F34" t="s">
        <v>318</v>
      </c>
      <c r="G34" t="s">
        <v>321</v>
      </c>
    </row>
    <row r="35" spans="2:7">
      <c r="D35" t="s">
        <v>315</v>
      </c>
      <c r="E35" t="s">
        <v>322</v>
      </c>
      <c r="F35" t="s">
        <v>323</v>
      </c>
      <c r="G35" t="s">
        <v>324</v>
      </c>
    </row>
    <row r="36" spans="2:7">
      <c r="D36" t="s">
        <v>314</v>
      </c>
      <c r="E36" t="s">
        <v>322</v>
      </c>
      <c r="F36" t="s">
        <v>325</v>
      </c>
      <c r="G36" t="s">
        <v>326</v>
      </c>
    </row>
    <row r="37" spans="2:7">
      <c r="B37" s="2" t="e">
        <f ca="1">_1__xlfn.FORMULATEXT(B38)</f>
        <v>#NAME?</v>
      </c>
    </row>
    <row r="38" spans="2:7" ht="93.5">
      <c r="B38" s="13" t="str">
        <f>relRange(D31:G36)</f>
        <v>from::to::departure::destination _x000D_
ZRH::GVA::07H00::07H30 _x000D_
ZRH::GVA::08H00::08H30 _x000D_
GVA::CPX::08H00::09H30 _x000D_
GVA::NIC::09H00::11H00 _x000D_
ZRH::NIC::10H00::11H30</v>
      </c>
    </row>
    <row r="40" spans="2:7" ht="93.5">
      <c r="B40" s="13" t="str">
        <f>relFixpoint(B38,"from","ZRH","to")</f>
        <v>from::to::departure::destination _x000D_
ZRH::GVA::07H00::07H30 _x000D_
ZRH::GVA::08H00::08H30 _x000D_
ZRH::NIC::10H00::11H30 _x000D_
GVA::CPX::08H00::09H30 _x000D_
GVA::NIC::09H00::11H00</v>
      </c>
    </row>
  </sheetData>
  <pageMargins left="0.7" right="0.7" top="0.78740157499999996" bottom="0.78740157499999996"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97"/>
  <sheetViews>
    <sheetView showRuler="0" topLeftCell="A75" workbookViewId="0">
      <selection activeCell="B80" sqref="B80"/>
    </sheetView>
  </sheetViews>
  <sheetFormatPr baseColWidth="10" defaultRowHeight="15" x14ac:dyDescent="0"/>
  <cols>
    <col min="1" max="1" width="33.1640625" customWidth="1"/>
    <col min="2" max="2" width="56.5" customWidth="1"/>
    <col min="3" max="3" width="10.33203125" customWidth="1"/>
    <col min="4" max="4" width="51.1640625" customWidth="1"/>
  </cols>
  <sheetData>
    <row r="1" spans="1:11">
      <c r="A1" s="2" t="s">
        <v>83</v>
      </c>
      <c r="E1" t="s">
        <v>327</v>
      </c>
      <c r="F1" t="s">
        <v>330</v>
      </c>
      <c r="G1" t="s">
        <v>7</v>
      </c>
      <c r="H1" t="s">
        <v>328</v>
      </c>
      <c r="I1" t="s">
        <v>329</v>
      </c>
      <c r="J1" t="s">
        <v>328</v>
      </c>
      <c r="K1" t="s">
        <v>329</v>
      </c>
    </row>
    <row r="2" spans="1:11">
      <c r="E2">
        <v>1</v>
      </c>
      <c r="F2" t="s">
        <v>9</v>
      </c>
      <c r="G2">
        <v>240</v>
      </c>
      <c r="H2">
        <v>1</v>
      </c>
      <c r="I2" t="s">
        <v>2</v>
      </c>
      <c r="J2">
        <v>2</v>
      </c>
      <c r="K2" t="s">
        <v>3</v>
      </c>
    </row>
    <row r="3" spans="1:11">
      <c r="E3">
        <v>2</v>
      </c>
      <c r="F3" t="s">
        <v>10</v>
      </c>
      <c r="G3">
        <v>120</v>
      </c>
      <c r="H3">
        <v>2</v>
      </c>
      <c r="I3" t="s">
        <v>3</v>
      </c>
      <c r="J3">
        <v>3</v>
      </c>
      <c r="K3" t="s">
        <v>4</v>
      </c>
    </row>
    <row r="4" spans="1:11">
      <c r="E4">
        <v>3</v>
      </c>
      <c r="F4" t="s">
        <v>11</v>
      </c>
      <c r="G4">
        <v>150</v>
      </c>
      <c r="H4">
        <v>3</v>
      </c>
      <c r="I4" t="s">
        <v>4</v>
      </c>
      <c r="J4">
        <v>4</v>
      </c>
      <c r="K4" t="s">
        <v>21</v>
      </c>
    </row>
    <row r="5" spans="1:11">
      <c r="E5">
        <v>4</v>
      </c>
      <c r="F5" t="s">
        <v>12</v>
      </c>
      <c r="G5">
        <v>5</v>
      </c>
      <c r="H5">
        <v>4</v>
      </c>
      <c r="I5" t="s">
        <v>21</v>
      </c>
      <c r="J5" t="s">
        <v>88</v>
      </c>
      <c r="K5" t="s">
        <v>5</v>
      </c>
    </row>
    <row r="6" spans="1:11">
      <c r="E6">
        <v>5</v>
      </c>
      <c r="F6" t="s">
        <v>13</v>
      </c>
      <c r="G6">
        <v>240</v>
      </c>
      <c r="H6">
        <v>5</v>
      </c>
      <c r="I6" t="s">
        <v>5</v>
      </c>
      <c r="J6" t="s">
        <v>89</v>
      </c>
      <c r="K6" t="s">
        <v>6</v>
      </c>
    </row>
    <row r="7" spans="1:11">
      <c r="E7">
        <v>6</v>
      </c>
      <c r="F7" t="s">
        <v>14</v>
      </c>
      <c r="G7">
        <v>180</v>
      </c>
      <c r="H7">
        <v>6</v>
      </c>
      <c r="I7" t="s">
        <v>6</v>
      </c>
    </row>
    <row r="8" spans="1:11">
      <c r="E8">
        <v>7</v>
      </c>
      <c r="F8" t="s">
        <v>15</v>
      </c>
      <c r="G8">
        <v>90</v>
      </c>
    </row>
    <row r="9" spans="1:11">
      <c r="E9">
        <v>8</v>
      </c>
      <c r="F9" t="s">
        <v>16</v>
      </c>
      <c r="G9">
        <v>270</v>
      </c>
    </row>
    <row r="10" spans="1:11">
      <c r="E10">
        <v>9</v>
      </c>
      <c r="F10" t="s">
        <v>17</v>
      </c>
      <c r="G10">
        <v>66</v>
      </c>
    </row>
    <row r="11" spans="1:11">
      <c r="E11">
        <v>10</v>
      </c>
      <c r="F11" t="s">
        <v>18</v>
      </c>
      <c r="G11">
        <v>180</v>
      </c>
    </row>
    <row r="12" spans="1:11">
      <c r="A12" t="s">
        <v>84</v>
      </c>
      <c r="B12" t="s">
        <v>87</v>
      </c>
      <c r="C12" t="s">
        <v>86</v>
      </c>
      <c r="D12" t="s">
        <v>85</v>
      </c>
      <c r="E12" s="2" t="s">
        <v>100</v>
      </c>
    </row>
    <row r="13" spans="1:11" s="17" customFormat="1">
      <c r="A13" s="17" t="e">
        <f ca="1">_1__xlfn.FORMULATEXT(B13)</f>
        <v>#NAME?</v>
      </c>
      <c r="B13" s="17" t="str">
        <f>relRange(E1:G11)</f>
        <v>pid::pname::price _x000D_
1::Hard drive::240 _x000D_
2::Memory::120 _x000D_
3::ZIP drive::150 _x000D_
4::Floppy disk::5 _x000D_
5::Monitor::240 _x000D_
6::DVD drive::180 _x000D_
7::CD drive::90 _x000D_
8::Printer::270 _x000D_
9::Toner cartridge::66 _x000D_
10::DVD burner::180</v>
      </c>
      <c r="C13" s="17" t="b">
        <f>(B13=D13)</f>
        <v>1</v>
      </c>
      <c r="D13" s="17" t="s">
        <v>332</v>
      </c>
    </row>
    <row r="14" spans="1:11">
      <c r="A14" s="17" t="e">
        <f t="shared" ref="A14:A73" ca="1" si="0">_1__xlfn.FORMULATEXT(B14)</f>
        <v>#NAME?</v>
      </c>
      <c r="B14" t="str">
        <f>relRange(H1:I7)</f>
        <v>eid::ename _x000D_
1::Sony _x000D_
2::Creative Labs _x000D_
3::Hewlett Packard _x000D_
4::Iomega _x000D_
5::Fujitsu _x000D_
6::Winchester</v>
      </c>
      <c r="C14" t="b">
        <f>(B14=D14)</f>
        <v>1</v>
      </c>
      <c r="D14" t="s">
        <v>333</v>
      </c>
    </row>
    <row r="15" spans="1:11">
      <c r="A15" s="17" t="e">
        <f t="shared" ca="1" si="0"/>
        <v>#NAME?</v>
      </c>
      <c r="B15" s="10" t="str">
        <f>relRange(J1:K6)</f>
        <v>eid::ename _x000D_
2::Creative Labs _x000D_
3::Hewlett Packard _x000D_
4::Iomega _x000D_
x::Fujitsu _x000D_
y::Winchester</v>
      </c>
      <c r="C15" t="b">
        <f>(B15=D15)</f>
        <v>1</v>
      </c>
      <c r="D15" t="s">
        <v>334</v>
      </c>
    </row>
    <row r="16" spans="1:11">
      <c r="A16" s="17" t="e">
        <f t="shared" ca="1" si="0"/>
        <v>#NAME?</v>
      </c>
      <c r="B16" s="10" t="e">
        <f>relRange("blabla")</f>
        <v>#VALUE!</v>
      </c>
      <c r="C16" t="e">
        <f t="shared" ref="C16:C47" si="1">(B16=D16)</f>
        <v>#VALUE!</v>
      </c>
      <c r="D16" t="e">
        <v>#VALUE!</v>
      </c>
      <c r="E16" s="2" t="s">
        <v>96</v>
      </c>
    </row>
    <row r="17" spans="1:5">
      <c r="A17" s="17" t="e">
        <f t="shared" ca="1" si="0"/>
        <v>#NAME?</v>
      </c>
      <c r="B17" s="10" t="e">
        <f>relRange("1::Sony")</f>
        <v>#VALUE!</v>
      </c>
      <c r="C17" t="e">
        <f t="shared" si="1"/>
        <v>#VALUE!</v>
      </c>
      <c r="D17" t="e">
        <v>#VALUE!</v>
      </c>
      <c r="E17" s="2" t="s">
        <v>96</v>
      </c>
    </row>
    <row r="18" spans="1:5" s="17" customFormat="1">
      <c r="A18" s="17" t="e">
        <f t="shared" ca="1" si="0"/>
        <v>#NAME?</v>
      </c>
      <c r="B18" s="26" t="e">
        <f>relRange("eid::ename 
2::Creative Labs 
3::Hewlett Packard 
4::Iomega 
x::Fujitsu 
y::Winchester")</f>
        <v>#VALUE!</v>
      </c>
      <c r="C18" t="e">
        <f t="shared" si="1"/>
        <v>#VALUE!</v>
      </c>
      <c r="D18" s="17" t="e">
        <v>#VALUE!</v>
      </c>
      <c r="E18" s="2" t="s">
        <v>96</v>
      </c>
    </row>
    <row r="19" spans="1:5">
      <c r="B19" s="10"/>
    </row>
    <row r="20" spans="1:5">
      <c r="A20" s="17" t="e">
        <f t="shared" ca="1" si="0"/>
        <v>#NAME?</v>
      </c>
      <c r="B20" t="str">
        <f>relSelect($B$13,"%1&lt;4")</f>
        <v>pid::pname::price _x000D_
1::Hard drive::240 _x000D_
2::Memory::120 _x000D_
3::ZIP drive::150</v>
      </c>
      <c r="C20" t="b">
        <f t="shared" si="1"/>
        <v>1</v>
      </c>
      <c r="D20" t="s">
        <v>335</v>
      </c>
    </row>
    <row r="21" spans="1:5">
      <c r="A21" s="17" t="e">
        <f t="shared" ca="1" si="0"/>
        <v>#NAME?</v>
      </c>
      <c r="B21" t="str">
        <f>relSelect($B$13,"%pid&lt;4")</f>
        <v>pid::pname::price _x000D_
1::Hard drive::240 _x000D_
2::Memory::120 _x000D_
3::ZIP drive::150</v>
      </c>
      <c r="C21" t="b">
        <f t="shared" ref="C21" si="2">(B21=D21)</f>
        <v>1</v>
      </c>
      <c r="D21" t="s">
        <v>335</v>
      </c>
    </row>
    <row r="22" spans="1:5">
      <c r="A22" s="17" t="e">
        <f t="shared" ca="1" si="0"/>
        <v>#NAME?</v>
      </c>
      <c r="B22" s="13" t="str">
        <f>relSelect($B$13,"$pid&lt;4")</f>
        <v>pid::pname::price</v>
      </c>
      <c r="C22" t="b">
        <f t="shared" si="1"/>
        <v>1</v>
      </c>
      <c r="D22" t="s">
        <v>336</v>
      </c>
      <c r="E22" s="2" t="s">
        <v>337</v>
      </c>
    </row>
    <row r="23" spans="1:5">
      <c r="A23" s="17" t="e">
        <f t="shared" ca="1" si="0"/>
        <v>#NAME?</v>
      </c>
      <c r="B23" t="str">
        <f>relSelect($B$13,"LEFT($pname,1)=""M""")</f>
        <v>pid::pname::price _x000D_
2::Memory::120 _x000D_
5::Monitor::240</v>
      </c>
      <c r="C23" t="b">
        <f t="shared" si="1"/>
        <v>1</v>
      </c>
      <c r="D23" t="s">
        <v>338</v>
      </c>
    </row>
    <row r="24" spans="1:5">
      <c r="A24" s="17" t="e">
        <f t="shared" ca="1" si="0"/>
        <v>#NAME?</v>
      </c>
      <c r="B24" t="str">
        <f>relSelect($B$13,"LEFT($pname,1)=""X""")</f>
        <v>pid::pname::price</v>
      </c>
      <c r="C24" t="b">
        <f t="shared" si="1"/>
        <v>1</v>
      </c>
      <c r="D24" t="s">
        <v>336</v>
      </c>
      <c r="E24" s="2" t="s">
        <v>339</v>
      </c>
    </row>
    <row r="25" spans="1:5">
      <c r="A25" s="17" t="e">
        <f t="shared" ca="1" si="0"/>
        <v>#NAME?</v>
      </c>
      <c r="B25" t="str">
        <f>relSelect($B$13,"LEFT(%pname,1)=""M""")</f>
        <v>pid::pname::price</v>
      </c>
      <c r="C25" t="b">
        <f t="shared" si="1"/>
        <v>1</v>
      </c>
      <c r="D25" t="s">
        <v>336</v>
      </c>
      <c r="E25" s="2" t="s">
        <v>98</v>
      </c>
    </row>
    <row r="26" spans="1:5">
      <c r="A26" s="17" t="e">
        <f t="shared" ca="1" si="0"/>
        <v>#NAME?</v>
      </c>
      <c r="B26" t="str">
        <f>relSelect($C$4,"LEFT($pname,1)=""X""")</f>
        <v/>
      </c>
      <c r="C26" t="b">
        <f t="shared" si="1"/>
        <v>1</v>
      </c>
      <c r="E26" s="2" t="s">
        <v>97</v>
      </c>
    </row>
    <row r="27" spans="1:5" s="2" customFormat="1">
      <c r="A27" s="17" t="e">
        <f t="shared" ca="1" si="0"/>
        <v>#NAME?</v>
      </c>
      <c r="B27" s="4" t="e">
        <f>relSelect($C$4:$C$5,"LEFT($pname,1)=""X""")</f>
        <v>#VALUE!</v>
      </c>
      <c r="C27" s="4" t="e">
        <f t="shared" si="1"/>
        <v>#VALUE!</v>
      </c>
      <c r="D27" s="4" t="e">
        <v>#VALUE!</v>
      </c>
      <c r="E27" s="2" t="s">
        <v>99</v>
      </c>
    </row>
    <row r="28" spans="1:5">
      <c r="A28" s="17" t="e">
        <f t="shared" ca="1" si="0"/>
        <v>#NAME?</v>
      </c>
      <c r="B28" t="str">
        <f>relSelect("pid::pname
1::Sony","%1&lt;4")</f>
        <v>pid::pname
1::Sony</v>
      </c>
      <c r="C28" t="b">
        <f t="shared" si="1"/>
        <v>1</v>
      </c>
      <c r="D28" t="s">
        <v>372</v>
      </c>
      <c r="E28" s="2"/>
    </row>
    <row r="29" spans="1:5">
      <c r="A29" s="17" t="e">
        <f t="shared" ca="1" si="0"/>
        <v>#NAME?</v>
      </c>
      <c r="B29" t="str">
        <f>relSelect("pid::pname","%1&lt;4")</f>
        <v>pid::pname</v>
      </c>
      <c r="C29" t="b">
        <f t="shared" ref="C29" si="3">(B29=D29)</f>
        <v>1</v>
      </c>
      <c r="D29" t="s">
        <v>342</v>
      </c>
      <c r="E29" s="2"/>
    </row>
    <row r="30" spans="1:5">
      <c r="A30" s="17" t="s">
        <v>341</v>
      </c>
      <c r="B30" t="str">
        <f>relSelect("pid::pname 
1::Sony","%pid&lt;4")</f>
        <v>pid::pname 
1::Sony</v>
      </c>
      <c r="C30" t="b">
        <v>1</v>
      </c>
      <c r="D30" t="s">
        <v>343</v>
      </c>
    </row>
    <row r="31" spans="1:5">
      <c r="A31" s="17" t="e">
        <f t="shared" ca="1" si="0"/>
        <v>#NAME?</v>
      </c>
      <c r="B31" t="str">
        <f>relSelect($B$15,"%1&lt;4")</f>
        <v>eid::ename _x000D_
2::Creative Labs _x000D_
3::Hewlett Packard _x000D_
x::Fujitsu _x000D_
y::Winchester</v>
      </c>
      <c r="C31" t="b">
        <f t="shared" si="1"/>
        <v>1</v>
      </c>
      <c r="D31" t="s">
        <v>344</v>
      </c>
    </row>
    <row r="32" spans="1:5">
      <c r="A32" s="17" t="e">
        <f t="shared" ca="1" si="0"/>
        <v>#NAME?</v>
      </c>
      <c r="B32" t="str">
        <f>relSelect($B$15,"%1&gt;2")</f>
        <v>eid::ename _x000D_
3::Hewlett Packard _x000D_
4::Iomega</v>
      </c>
      <c r="C32" t="b">
        <f t="shared" ref="C32" si="4">(B32=D32)</f>
        <v>1</v>
      </c>
      <c r="D32" t="s">
        <v>345</v>
      </c>
    </row>
    <row r="33" spans="1:5">
      <c r="A33" s="17" t="e">
        <f t="shared" ca="1" si="0"/>
        <v>#NAME?</v>
      </c>
      <c r="B33" t="str">
        <f>relSelect($B$15,"VALUE($1)&lt;4")</f>
        <v>#ERROR CONDITION LINE  5 : =(VALUE("x")&lt;4)</v>
      </c>
      <c r="C33" t="b">
        <f t="shared" si="1"/>
        <v>1</v>
      </c>
      <c r="D33" t="s">
        <v>346</v>
      </c>
    </row>
    <row r="34" spans="1:5">
      <c r="A34" s="17" t="e">
        <f t="shared" ca="1" si="0"/>
        <v>#NAME?</v>
      </c>
      <c r="B34" t="str">
        <f>relSelect($B$13,"TEXT(%1,""0"")=""5""")</f>
        <v>pid::pname::price _x000D_
5::Monitor::240</v>
      </c>
      <c r="C34" t="b">
        <f t="shared" si="1"/>
        <v>1</v>
      </c>
      <c r="D34" t="s">
        <v>347</v>
      </c>
    </row>
    <row r="36" spans="1:5">
      <c r="A36" s="17" t="e">
        <f t="shared" ca="1" si="0"/>
        <v>#NAME?</v>
      </c>
      <c r="B36" t="str">
        <f>relProject($B$13,"1::2")</f>
        <v>pid::pname _x000D_
1::Hard drive _x000D_
2::Memory _x000D_
3::ZIP drive _x000D_
4::Floppy disk _x000D_
5::Monitor _x000D_
6::DVD drive _x000D_
7::CD drive _x000D_
8::Printer _x000D_
9::Toner cartridge _x000D_
10::DVD burner</v>
      </c>
      <c r="C36" t="b">
        <f t="shared" si="1"/>
        <v>1</v>
      </c>
      <c r="D36" t="s">
        <v>348</v>
      </c>
    </row>
    <row r="37" spans="1:5">
      <c r="A37" s="17" t="e">
        <f t="shared" ca="1" si="0"/>
        <v>#NAME?</v>
      </c>
      <c r="B37" t="str">
        <f>relProject($B$13,"pid::pname")</f>
        <v>pid::pname _x000D_
1::Hard drive _x000D_
2::Memory _x000D_
3::ZIP drive _x000D_
4::Floppy disk _x000D_
5::Monitor _x000D_
6::DVD drive _x000D_
7::CD drive _x000D_
8::Printer _x000D_
9::Toner cartridge _x000D_
10::DVD burner</v>
      </c>
      <c r="C37" t="b">
        <f t="shared" ref="C37" si="5">(B37=D37)</f>
        <v>1</v>
      </c>
      <c r="D37" t="s">
        <v>348</v>
      </c>
    </row>
    <row r="38" spans="1:5">
      <c r="A38" s="17" t="e">
        <f t="shared" ca="1" si="0"/>
        <v>#NAME?</v>
      </c>
      <c r="B38" t="str">
        <f>relProject($B$13,"0::2")</f>
        <v>#ERROR COLUMN: 0</v>
      </c>
      <c r="C38" t="b">
        <f t="shared" si="1"/>
        <v>1</v>
      </c>
      <c r="D38" t="s">
        <v>90</v>
      </c>
    </row>
    <row r="39" spans="1:5">
      <c r="A39" s="17" t="e">
        <f t="shared" ca="1" si="0"/>
        <v>#NAME?</v>
      </c>
      <c r="B39" t="str">
        <f>relProject($B$13,"price::pname")</f>
        <v>price::pname _x000D_
240::Hard drive _x000D_
120::Memory _x000D_
150::ZIP drive _x000D_
5::Floppy disk _x000D_
240::Monitor _x000D_
180::DVD drive _x000D_
90::CD drive _x000D_
270::Printer _x000D_
66::Toner cartridge _x000D_
180::DVD burner</v>
      </c>
      <c r="C39" t="b">
        <f t="shared" si="1"/>
        <v>1</v>
      </c>
      <c r="D39" t="s">
        <v>349</v>
      </c>
    </row>
    <row r="40" spans="1:5">
      <c r="A40" s="17" t="e">
        <f t="shared" ca="1" si="0"/>
        <v>#NAME?</v>
      </c>
      <c r="B40" t="str">
        <f>relProject($B$13,"price SUM")</f>
        <v>price_sum _x000D_
1541</v>
      </c>
      <c r="C40" t="b">
        <f t="shared" si="1"/>
        <v>1</v>
      </c>
      <c r="D40" t="s">
        <v>350</v>
      </c>
    </row>
    <row r="41" spans="1:5">
      <c r="A41" s="17" t="e">
        <f t="shared" ca="1" si="0"/>
        <v>#NAME?</v>
      </c>
      <c r="B41" t="str">
        <f>relProject($B$13,"")</f>
        <v/>
      </c>
      <c r="C41" t="b">
        <f t="shared" si="1"/>
        <v>1</v>
      </c>
      <c r="E41" s="2" t="s">
        <v>101</v>
      </c>
    </row>
    <row r="42" spans="1:5">
      <c r="A42" s="17" t="e">
        <f t="shared" ca="1" si="0"/>
        <v>#NAME?</v>
      </c>
      <c r="B42" t="str">
        <f>relProject($B$13," ")</f>
        <v>#ERROR LIST EMPTY</v>
      </c>
      <c r="C42" t="b">
        <f t="shared" si="1"/>
        <v>1</v>
      </c>
      <c r="D42" t="s">
        <v>92</v>
      </c>
      <c r="E42" s="2" t="s">
        <v>102</v>
      </c>
    </row>
    <row r="43" spans="1:5">
      <c r="A43" s="17" t="e">
        <f t="shared" ca="1" si="0"/>
        <v>#NAME?</v>
      </c>
      <c r="B43" t="str">
        <f>relProject($B$13,"blabla")</f>
        <v>#ERROR COLUMN: blabla</v>
      </c>
      <c r="C43" t="b">
        <f t="shared" si="1"/>
        <v>1</v>
      </c>
      <c r="D43" t="s">
        <v>91</v>
      </c>
      <c r="E43" s="2"/>
    </row>
    <row r="44" spans="1:5">
      <c r="A44" s="17" t="e">
        <f t="shared" ca="1" si="0"/>
        <v>#NAME?</v>
      </c>
      <c r="B44" t="str">
        <f>relProject($C$4,"1")</f>
        <v/>
      </c>
      <c r="C44" t="b">
        <f t="shared" si="1"/>
        <v>1</v>
      </c>
      <c r="E44" s="2" t="s">
        <v>97</v>
      </c>
    </row>
    <row r="45" spans="1:5">
      <c r="A45" s="17" t="e">
        <f t="shared" ca="1" si="0"/>
        <v>#NAME?</v>
      </c>
      <c r="B45" t="str">
        <f>relProject($C$4,"1 COUNT")</f>
        <v>1_count _x000D_
0</v>
      </c>
      <c r="C45" t="b">
        <f t="shared" si="1"/>
        <v>1</v>
      </c>
      <c r="D45" t="s">
        <v>351</v>
      </c>
      <c r="E45" s="2" t="s">
        <v>253</v>
      </c>
    </row>
    <row r="46" spans="1:5">
      <c r="A46" s="17" t="e">
        <f t="shared" ca="1" si="0"/>
        <v>#NAME?</v>
      </c>
      <c r="B46" t="str">
        <f>relProject($C$4,"")</f>
        <v/>
      </c>
      <c r="C46" t="b">
        <f t="shared" si="1"/>
        <v>1</v>
      </c>
      <c r="E46" s="2" t="s">
        <v>97</v>
      </c>
    </row>
    <row r="47" spans="1:5">
      <c r="A47" s="17" t="e">
        <f t="shared" ca="1" si="0"/>
        <v>#NAME?</v>
      </c>
      <c r="B47" t="str">
        <f>relProject("1::Sony","2")</f>
        <v>#ERROR NUMERIC HEADER</v>
      </c>
      <c r="C47" t="b">
        <f t="shared" si="1"/>
        <v>1</v>
      </c>
      <c r="D47" t="s">
        <v>340</v>
      </c>
    </row>
    <row r="48" spans="1:5">
      <c r="A48" s="17" t="e">
        <f t="shared" ca="1" si="0"/>
        <v>#NAME?</v>
      </c>
      <c r="B48" t="str">
        <f>relProject("pid::pname","2")</f>
        <v>pname</v>
      </c>
      <c r="C48" t="b">
        <f t="shared" ref="C48" si="6">(B48=D48)</f>
        <v>1</v>
      </c>
      <c r="D48" t="s">
        <v>330</v>
      </c>
    </row>
    <row r="50" spans="1:4">
      <c r="A50" s="17" t="e">
        <f t="shared" ca="1" si="0"/>
        <v>#NAME?</v>
      </c>
      <c r="B50" t="str">
        <f>relExtend($B$13,"%pid*2","pid2")</f>
        <v>pid::pname::price::pid2 _x000D_
1::Hard drive::240::2 _x000D_
2::Memory::120::4 _x000D_
3::ZIP drive::150::6 _x000D_
4::Floppy disk::5::8 _x000D_
5::Monitor::240::10 _x000D_
6::DVD drive::180::12 _x000D_
7::CD drive::90::14 _x000D_
8::Printer::270::16 _x000D_
9::Toner cartridge::66::18 _x000D_
10::DVD burner::180::20</v>
      </c>
      <c r="C50" t="b">
        <f t="shared" ref="C50:C97" si="7">(B50=D50)</f>
        <v>1</v>
      </c>
      <c r="D50" t="s">
        <v>352</v>
      </c>
    </row>
    <row r="51" spans="1:4">
      <c r="A51" s="17" t="e">
        <f t="shared" ca="1" si="0"/>
        <v>#NAME?</v>
      </c>
      <c r="B51" t="str">
        <f>relExtend($B$13,"$pid*2","pid2")</f>
        <v>pid::pname::price::pid2 _x000D_
1::Hard drive::240::2 _x000D_
2::Memory::120::4 _x000D_
3::ZIP drive::150::6 _x000D_
4::Floppy disk::5::8 _x000D_
5::Monitor::240::10 _x000D_
6::DVD drive::180::12 _x000D_
7::CD drive::90::14 _x000D_
8::Printer::270::16 _x000D_
9::Toner cartridge::66::18 _x000D_
10::DVD burner::180::20</v>
      </c>
      <c r="C51" t="b">
        <f t="shared" si="7"/>
        <v>1</v>
      </c>
      <c r="D51" t="s">
        <v>352</v>
      </c>
    </row>
    <row r="52" spans="1:4">
      <c r="A52" s="17" t="e">
        <f t="shared" ca="1" si="0"/>
        <v>#NAME?</v>
      </c>
      <c r="B52" t="str">
        <f>relExtend($B$13,"$2blabla""")</f>
        <v>#ERROR CALCULATION LINE  2 : =("Hard drive"blabla")</v>
      </c>
      <c r="C52" t="b">
        <f t="shared" si="7"/>
        <v>1</v>
      </c>
      <c r="D52" t="s">
        <v>353</v>
      </c>
    </row>
    <row r="53" spans="1:4">
      <c r="A53" s="17" t="e">
        <f t="shared" ca="1" si="0"/>
        <v>#NAME?</v>
      </c>
      <c r="B53" t="str">
        <f>relExtend($B$13,"%1/0")</f>
        <v>#ERROR CALCULATION LINE  2 : =(1/0)</v>
      </c>
      <c r="C53" t="b">
        <f t="shared" si="7"/>
        <v>1</v>
      </c>
      <c r="D53" t="s">
        <v>354</v>
      </c>
    </row>
    <row r="54" spans="1:4">
      <c r="A54" s="17" t="e">
        <f t="shared" ca="1" si="0"/>
        <v>#NAME?</v>
      </c>
      <c r="B54" t="str">
        <f>relExtend("1::Sony","%1*5")</f>
        <v>#ERROR NUMERIC HEADER</v>
      </c>
      <c r="C54" t="b">
        <f t="shared" si="7"/>
        <v>1</v>
      </c>
      <c r="D54" t="s">
        <v>340</v>
      </c>
    </row>
    <row r="55" spans="1:4">
      <c r="A55" s="17" t="e">
        <f t="shared" ca="1" si="0"/>
        <v>#NAME?</v>
      </c>
      <c r="B55" t="str">
        <f>relExtend("id::blabla","%1*5")</f>
        <v>id::blabla::c2</v>
      </c>
      <c r="C55" t="b">
        <f t="shared" ref="C55" si="8">(B55=D55)</f>
        <v>1</v>
      </c>
      <c r="D55" t="s">
        <v>355</v>
      </c>
    </row>
    <row r="56" spans="1:4">
      <c r="A56" s="17" t="e">
        <f t="shared" ca="1" si="0"/>
        <v>#NAME?</v>
      </c>
      <c r="B56" t="str">
        <f>relExtend($B$13,"%1*0.22")</f>
        <v>pid::pname::price::c3 _x000D_
1::Hard drive::240::.22 _x000D_
2::Memory::120::.44 _x000D_
3::ZIP drive::150::.66 _x000D_
4::Floppy disk::5::.88 _x000D_
5::Monitor::240::1.1 _x000D_
6::DVD drive::180::1.32 _x000D_
7::CD drive::90::1.54 _x000D_
8::Printer::270::1.76 _x000D_
9::Toner cartridge::66::1.98 _x000D_
10::DVD burner::180::2.2</v>
      </c>
      <c r="C56" t="b">
        <f>(B56=D56)</f>
        <v>1</v>
      </c>
      <c r="D56" t="s">
        <v>356</v>
      </c>
    </row>
    <row r="57" spans="1:4">
      <c r="A57" s="17" t="e">
        <f t="shared" ca="1" si="0"/>
        <v>#NAME?</v>
      </c>
      <c r="B57" t="str">
        <f>relExtend("","%1*5")</f>
        <v/>
      </c>
      <c r="C57" t="b">
        <f t="shared" si="7"/>
        <v>1</v>
      </c>
    </row>
    <row r="59" spans="1:4">
      <c r="A59" s="17" t="e">
        <f t="shared" ca="1" si="0"/>
        <v>#NAME?</v>
      </c>
      <c r="B59" t="str">
        <f>relUnion($B$14,$B$15)</f>
        <v>eid::ename _x000D_
1::Sony _x000D_
2::Creative Labs _x000D_
3::Hewlett Packard _x000D_
4::Iomega _x000D_
5::Fujitsu _x000D_
6::Winchester _x000D_
x::Fujitsu _x000D_
y::Winchester</v>
      </c>
      <c r="C59" t="b">
        <f t="shared" si="7"/>
        <v>1</v>
      </c>
      <c r="D59" t="s">
        <v>357</v>
      </c>
    </row>
    <row r="60" spans="1:4">
      <c r="A60" s="17" t="e">
        <f t="shared" ca="1" si="0"/>
        <v>#NAME?</v>
      </c>
      <c r="B60" t="str">
        <f>relUnion($B$13,$B$14)</f>
        <v>#ERROR ARITY :  3 &lt;&gt; 2</v>
      </c>
      <c r="C60" t="b">
        <f t="shared" si="7"/>
        <v>1</v>
      </c>
      <c r="D60" t="s">
        <v>93</v>
      </c>
    </row>
    <row r="61" spans="1:4">
      <c r="A61" s="17" t="e">
        <f t="shared" ca="1" si="0"/>
        <v>#NAME?</v>
      </c>
      <c r="B61" t="str">
        <f>relUnion($B$13,"")</f>
        <v>pid::pname::price _x000D_
1::Hard drive::240 _x000D_
2::Memory::120 _x000D_
3::ZIP drive::150 _x000D_
4::Floppy disk::5 _x000D_
5::Monitor::240 _x000D_
6::DVD drive::180 _x000D_
7::CD drive::90 _x000D_
8::Printer::270 _x000D_
9::Toner cartridge::66 _x000D_
10::DVD burner::180</v>
      </c>
      <c r="C61" t="b">
        <f t="shared" si="7"/>
        <v>1</v>
      </c>
      <c r="D61" t="s">
        <v>332</v>
      </c>
    </row>
    <row r="62" spans="1:4">
      <c r="A62" s="17" t="e">
        <f t="shared" ca="1" si="0"/>
        <v>#NAME?</v>
      </c>
      <c r="B62" t="str">
        <f>relUnion($B$14,$C$2)</f>
        <v>eid::ename _x000D_
1::Sony _x000D_
2::Creative Labs _x000D_
3::Hewlett Packard _x000D_
4::Iomega _x000D_
5::Fujitsu _x000D_
6::Winchester</v>
      </c>
      <c r="C62" t="b">
        <f t="shared" si="7"/>
        <v>1</v>
      </c>
      <c r="D62" t="s">
        <v>333</v>
      </c>
    </row>
    <row r="63" spans="1:4">
      <c r="A63" s="17" t="e">
        <f t="shared" ca="1" si="0"/>
        <v>#NAME?</v>
      </c>
      <c r="B63" t="str">
        <f>relUnion("",$B$13)</f>
        <v>pid::pname::price _x000D_
1::Hard drive::240 _x000D_
2::Memory::120 _x000D_
3::ZIP drive::150 _x000D_
4::Floppy disk::5 _x000D_
5::Monitor::240 _x000D_
6::DVD drive::180 _x000D_
7::CD drive::90 _x000D_
8::Printer::270 _x000D_
9::Toner cartridge::66 _x000D_
10::DVD burner::180</v>
      </c>
      <c r="C63" t="b">
        <f t="shared" si="7"/>
        <v>1</v>
      </c>
      <c r="D63" t="s">
        <v>332</v>
      </c>
    </row>
    <row r="64" spans="1:4">
      <c r="A64" s="17" t="e">
        <f t="shared" ca="1" si="0"/>
        <v>#NAME?</v>
      </c>
      <c r="B64" t="str">
        <f>relUnion("blabla","foo")</f>
        <v>#ERROR FIELD NOT MATCH foo</v>
      </c>
      <c r="C64" t="b">
        <f t="shared" si="7"/>
        <v>1</v>
      </c>
      <c r="D64" t="s">
        <v>358</v>
      </c>
    </row>
    <row r="65" spans="1:5">
      <c r="A65" s="17" t="e">
        <f t="shared" ca="1" si="0"/>
        <v>#NAME?</v>
      </c>
      <c r="B65" t="str">
        <f>relUnion("foo","foo")</f>
        <v>foo</v>
      </c>
      <c r="C65" t="b">
        <f t="shared" ref="C65" si="9">(B65=D65)</f>
        <v>1</v>
      </c>
      <c r="D65" t="s">
        <v>359</v>
      </c>
    </row>
    <row r="66" spans="1:5">
      <c r="A66" s="17"/>
    </row>
    <row r="67" spans="1:5">
      <c r="A67" s="17" t="e">
        <f t="shared" ca="1" si="0"/>
        <v>#NAME?</v>
      </c>
      <c r="B67" t="str">
        <f>reldifference($B$14,$B$15)</f>
        <v>eid::ename _x000D_
1::Sony _x000D_
5::Fujitsu _x000D_
6::Winchester</v>
      </c>
      <c r="C67" t="b">
        <f t="shared" si="7"/>
        <v>1</v>
      </c>
      <c r="D67" t="s">
        <v>360</v>
      </c>
    </row>
    <row r="68" spans="1:5">
      <c r="A68" s="17" t="e">
        <f t="shared" ca="1" si="0"/>
        <v>#NAME?</v>
      </c>
      <c r="B68" t="str">
        <f>reldifference($B$14,"10::Panasonic")</f>
        <v>#ERROR FIELD NOT MATCH Panasonic</v>
      </c>
      <c r="C68" t="b">
        <f t="shared" si="7"/>
        <v>1</v>
      </c>
      <c r="D68" t="s">
        <v>361</v>
      </c>
    </row>
    <row r="69" spans="1:5">
      <c r="A69" s="17" t="e">
        <f t="shared" ca="1" si="0"/>
        <v>#NAME?</v>
      </c>
      <c r="B69" t="str">
        <f>reldifference($B$13,$B$14)</f>
        <v>#ERROR ARITY :  3 &lt;&gt; 2</v>
      </c>
      <c r="C69" t="b">
        <f t="shared" si="7"/>
        <v>1</v>
      </c>
      <c r="D69" t="s">
        <v>93</v>
      </c>
    </row>
    <row r="70" spans="1:5">
      <c r="A70" s="17" t="e">
        <f t="shared" ca="1" si="0"/>
        <v>#NAME?</v>
      </c>
      <c r="B70" t="str">
        <f>reldifference($B$13,"")</f>
        <v>pid::pname::price _x000D_
1::Hard drive::240 _x000D_
2::Memory::120 _x000D_
3::ZIP drive::150 _x000D_
4::Floppy disk::5 _x000D_
5::Monitor::240 _x000D_
6::DVD drive::180 _x000D_
7::CD drive::90 _x000D_
8::Printer::270 _x000D_
9::Toner cartridge::66 _x000D_
10::DVD burner::180</v>
      </c>
      <c r="C70" t="b">
        <f t="shared" si="7"/>
        <v>1</v>
      </c>
      <c r="D70" t="s">
        <v>332</v>
      </c>
    </row>
    <row r="71" spans="1:5">
      <c r="A71" s="17" t="e">
        <f t="shared" ca="1" si="0"/>
        <v>#NAME?</v>
      </c>
      <c r="B71" t="str">
        <f>reldifference($B$13,$C$2)</f>
        <v>pid::pname::price _x000D_
1::Hard drive::240 _x000D_
2::Memory::120 _x000D_
3::ZIP drive::150 _x000D_
4::Floppy disk::5 _x000D_
5::Monitor::240 _x000D_
6::DVD drive::180 _x000D_
7::CD drive::90 _x000D_
8::Printer::270 _x000D_
9::Toner cartridge::66 _x000D_
10::DVD burner::180</v>
      </c>
      <c r="C71" t="b">
        <f t="shared" si="7"/>
        <v>1</v>
      </c>
      <c r="D71" t="s">
        <v>332</v>
      </c>
    </row>
    <row r="72" spans="1:5">
      <c r="A72" s="17" t="e">
        <f t="shared" ca="1" si="0"/>
        <v>#NAME?</v>
      </c>
      <c r="B72" t="str">
        <f>reldifference("",$B$13)</f>
        <v/>
      </c>
      <c r="C72" t="b">
        <f t="shared" si="7"/>
        <v>1</v>
      </c>
      <c r="D72" t="s">
        <v>94</v>
      </c>
      <c r="E72" s="2" t="s">
        <v>97</v>
      </c>
    </row>
    <row r="73" spans="1:5">
      <c r="A73" s="17" t="e">
        <f t="shared" ca="1" si="0"/>
        <v>#NAME?</v>
      </c>
      <c r="B73" t="str">
        <f>reldifference("blabla","foo")</f>
        <v>#ERROR FIELD NOT MATCH foo</v>
      </c>
      <c r="C73" t="b">
        <f t="shared" si="7"/>
        <v>1</v>
      </c>
      <c r="D73" t="s">
        <v>358</v>
      </c>
    </row>
    <row r="74" spans="1:5">
      <c r="A74" s="17" t="e">
        <f t="shared" ref="A74:A97" ca="1" si="10">_1__xlfn.FORMULATEXT(B74)</f>
        <v>#NAME?</v>
      </c>
      <c r="B74" t="str">
        <f>reldifference("foo","foo")</f>
        <v>foo</v>
      </c>
      <c r="C74" t="b">
        <f t="shared" si="7"/>
        <v>1</v>
      </c>
      <c r="D74" t="s">
        <v>359</v>
      </c>
    </row>
    <row r="75" spans="1:5">
      <c r="A75" s="17"/>
    </row>
    <row r="76" spans="1:5">
      <c r="A76" s="17" t="e">
        <f t="shared" ca="1" si="10"/>
        <v>#NAME?</v>
      </c>
      <c r="B76" t="str">
        <f>relJoin($B$13,$B$14,"true")</f>
        <v>pid::pname::price::eid::ename _x000D_
1::Hard drive::240::1::Sony _x000D_
1::Hard drive::240::2::Creative Labs _x000D_
1::Hard drive::240::3::Hewlett Packard _x000D_
1::Hard drive::240::4::Iomega _x000D_
1::Hard drive::240::5::Fujitsu _x000D_
1::Hard drive::240::6::Winchester _x000D_
2::Memory::120::1::Sony _x000D_
2::Memory::120::2::Creative Labs _x000D_
2::Memory::120::3::Hewlett Packard _x000D_
2::Memory::120::4::Iomega _x000D_
2::Memory::120::5::Fujitsu _x000D_
2::Memory::120::6::Winchester _x000D_
3::ZIP drive::150::1::Sony _x000D_
3::ZIP drive::150::2::Creative Labs _x000D_
3::ZIP drive::150::3::Hewlett Packard _x000D_
3::ZIP drive::150::4::Iomega _x000D_
3::ZIP drive::150::5::Fujitsu _x000D_
3::ZIP drive::150::6::Winchester _x000D_
4::Floppy disk::5::1::Sony _x000D_
4::Floppy disk::5::2::Creative Labs _x000D_
4::Floppy disk::5::3::Hewlett Packard _x000D_
4::Floppy disk::5::4::Iomega _x000D_
4::Floppy disk::5::5::Fujitsu _x000D_
4::Floppy disk::5::6::Winchester _x000D_
5::Monitor::240::1::Sony _x000D_
5::Monitor::240::2::Creative Labs _x000D_
5::Monitor::240::3::Hewlett Packard _x000D_
5::Monitor::240::4::Iomega _x000D_
5::Monitor::240::5::Fujitsu _x000D_
5::Monitor::240::6::Winchester _x000D_
6::DVD drive::180::1::Sony _x000D_
6::DVD drive::180::2::Creative Labs _x000D_
6::DVD drive::180::3::Hewlett Packard _x000D_
6::DVD drive::180::4::Iomega _x000D_
6::DVD drive::180::5::Fujitsu _x000D_
6::DVD drive::180::6::Winchester _x000D_
7::CD drive::90::1::Sony _x000D_
7::CD drive::90::2::Creative Labs _x000D_
7::CD drive::90::3::Hewlett Packard _x000D_
7::CD drive::90::4::Iomega _x000D_
7::CD drive::90::5::Fujitsu _x000D_
7::CD drive::90::6::Winchester _x000D_
8::Printer::270::1::Sony _x000D_
8::Printer::270::2::Creative Labs _x000D_
8::Printer::270::3::Hewlett Packard _x000D_
8::Printer::270::4::Iomega _x000D_
8::Printer::270::5::Fujitsu _x000D_
8::Printer::270::6::Winchester _x000D_
9::Toner cartridge::66::1::Sony _x000D_
9::Toner cartridge::66::2::Creative Labs _x000D_
9::Toner cartridge::66::3::Hewlett Packard _x000D_
9::Toner cartridge::66::4::Iomega _x000D_
9::Toner cartridge::66::5::Fujitsu _x000D_
9::Toner cartridge::66::6::Winchester _x000D_
10::DVD burner::180::1::Sony _x000D_
10::DVD burner::180::2::Creative Labs _x000D_
10::DVD burner::180::3::Hewlett Packard _x000D_
10::DVD burner::180::4::Iomega _x000D_
10::DVD burner::180::5::Fujitsu _x000D_
10::DVD burner::180::6::Winchester</v>
      </c>
      <c r="C76" t="b">
        <f t="shared" si="7"/>
        <v>1</v>
      </c>
      <c r="D76" t="s">
        <v>362</v>
      </c>
    </row>
    <row r="77" spans="1:5">
      <c r="A77" s="17" t="e">
        <f t="shared" ca="1" si="10"/>
        <v>#NAME?</v>
      </c>
      <c r="B77" t="str">
        <f>relJoin($B$13,$B$13,"true")</f>
        <v>pid_1::pname_1::price_1::pid_2::pname_2::price_2 _x000D_
1::Hard drive::240::1::Hard drive::240 _x000D_
1::Hard drive::240::2::Memory::120 _x000D_
1::Hard drive::240::3::ZIP drive::150 _x000D_
1::Hard drive::240::4::Floppy disk::5 _x000D_
1::Hard drive::240::5::Monitor::240 _x000D_
1::Hard drive::240::6::DVD drive::180 _x000D_
1::Hard drive::240::7::CD drive::90 _x000D_
1::Hard drive::240::8::Printer::270 _x000D_
1::Hard drive::240::9::Toner cartridge::66 _x000D_
1::Hard drive::240::10::DVD burner::180 _x000D_
2::Memory::120::1::Hard drive::240 _x000D_
2::Memory::120::2::Memory::120 _x000D_
2::Memory::120::3::ZIP drive::150 _x000D_
2::Memory::120::4::Floppy disk::5 _x000D_
2::Memory::120::5::Monitor::240 _x000D_
2::Memory::120::6::DVD drive::180 _x000D_
2::Memory::120::7::CD drive::90 _x000D_
2::Memory::120::8::Printer::270 _x000D_
2::Memory::120::9::Toner cartridge::66 _x000D_
2::Memory::120::10::DVD burner::180 _x000D_
3::ZIP drive::150::1::Hard drive::240 _x000D_
3::ZIP drive::150::2::Memory::120 _x000D_
3::ZIP drive::150::3::ZIP drive::150 _x000D_
3::ZIP drive::150::4::Floppy disk::5 _x000D_
3::ZIP drive::150::5::Monitor::240 _x000D_
3::ZIP drive::150::6::DVD drive::180 _x000D_
3::ZIP drive::150::7::CD drive::90 _x000D_
3::ZIP drive::150::8::Printer::270 _x000D_
3::ZIP drive::150::9::Toner cartridge::66 _x000D_
3::ZIP drive::150::10::DVD burner::180 _x000D_
4::Floppy disk::5::1::Hard drive::240 _x000D_
4::Floppy disk::5::2::Memory::120 _x000D_
4::Floppy disk::5::3::ZIP drive::150 _x000D_
4::Floppy disk::5::4::Floppy disk::5 _x000D_
4::Floppy disk::5::5::Monitor::240 _x000D_
4::Floppy disk::5::6::DVD drive::180 _x000D_
4::Floppy disk::5::7::CD drive::90 _x000D_
4::Floppy disk::5::8::Printer::270 _x000D_
4::Floppy disk::5::9::Toner cartridge::66 _x000D_
4::Floppy disk::5::10::DVD burner::180 _x000D_
5::Monitor::240::1::Hard drive::240 _x000D_
5::Monitor::240::2::Memory::120 _x000D_
5::Monitor::240::3::ZIP drive::150 _x000D_
5::Monitor::240::4::Floppy disk::5 _x000D_
5::Monitor::240::5::Monitor::240 _x000D_
5::Monitor::240::6::DVD drive::180 _x000D_
5::Monitor::240::7::CD drive::90 _x000D_
5::Monitor::240::8::Printer::270 _x000D_
5::Monitor::240::9::Toner cartridge::66 _x000D_
5::Monitor::240::10::DVD burner::180 _x000D_
6::DVD drive::180::1::Hard drive::240 _x000D_
6::DVD drive::180::2::Memory::120 _x000D_
6::DVD drive::180::3::ZIP drive::150 _x000D_
6::DVD drive::180::4::Floppy disk::5 _x000D_
6::DVD drive::180::5::Monitor::240 _x000D_
6::DVD drive::180::6::DVD drive::180 _x000D_
6::DVD drive::180::7::CD drive::90 _x000D_
6::DVD drive::180::8::Printer::270 _x000D_
6::DVD drive::180::9::Toner cartridge::66 _x000D_
6::DVD drive::180::10::DVD burner::180 _x000D_
7::CD drive::90::1::Hard drive::240 _x000D_
7::CD drive::90::2::Memory::120 _x000D_
7::CD drive::90::3::ZIP drive::150 _x000D_
7::CD drive::90::4::Floppy disk::5 _x000D_
7::CD drive::90::5::Monitor::240 _x000D_
7::CD drive::90::6::DVD drive::180 _x000D_
7::CD drive::90::7::CD drive::90 _x000D_
7::CD drive::90::8::Printer::270 _x000D_
7::CD drive::90::9::Toner cartridge::66 _x000D_
7::CD drive::90::10::DVD burner::180 _x000D_
8::Printer::270::1::Hard drive::240 _x000D_
8::Printer::270::2::Memory::120 _x000D_
8::Printer::270::3::ZIP drive::150 _x000D_
8::Printer::270::4::Floppy disk::5 _x000D_
8::Printer::270::5::Monitor::240 _x000D_
8::Printer::270::6::DVD drive::180 _x000D_
8::Printer::270::7::CD drive::90 _x000D_
8::Printer::270::8::Printer::270 _x000D_
8::Printer::270::9::Toner cartridge::66 _x000D_
8::Printer::270::10::DVD burner::180 _x000D_
9::Toner cartridge::66::1::Hard drive::240 _x000D_
9::Toner cartridge::66::2::Memory::120 _x000D_
9::Toner cartridge::66::3::ZIP drive::150 _x000D_
9::Toner cartridge::66::4::Floppy disk::5 _x000D_
9::Toner cartridge::66::5::Monitor::240 _x000D_
9::Toner cartridge::66::6::DVD drive::180 _x000D_
9::Toner cartridge::66::7::CD drive::90 _x000D_
9::Toner cartridge::66::8::Printer::270 _x000D_
9::Toner cartridge::66::9::Toner cartridge::66 _x000D_
9::Toner cartridge::66::10::DVD burner::180 _x000D_
10::DVD burner::180::1::Hard drive::240 _x000D_
10::DVD burner::180::2::Memory::120 _x000D_
10::DVD burner::180::3::ZIP drive::150 _x000D_
10::DVD burner::180::4::Floppy disk::5 _x000D_
10::DVD burner::180::5::Monitor::240 _x000D_
10::DVD burner::180::6::DVD drive::180 _x000D_
10::DVD burner::180::7::CD drive::90 _x000D_
10::DVD burner::180::8::Printer::270 _x000D_
10::DVD burner::180::9::Toner cartridge::66 _x000D_
10::DVD burner::180::10::DVD burner::180</v>
      </c>
      <c r="C77" t="b">
        <f t="shared" si="7"/>
        <v>1</v>
      </c>
      <c r="D77" t="s">
        <v>363</v>
      </c>
    </row>
    <row r="78" spans="1:5">
      <c r="A78" s="17" t="e">
        <f t="shared" ca="1" si="10"/>
        <v>#NAME?</v>
      </c>
      <c r="B78" t="str">
        <f>relJoin($B$13,$B$14,"$1=$4")</f>
        <v>pid::pname::price::eid::ename _x000D_
1::Hard drive::240::1::Sony _x000D_
2::Memory::120::2::Creative Labs _x000D_
3::ZIP drive::150::3::Hewlett Packard _x000D_
4::Floppy disk::5::4::Iomega _x000D_
5::Monitor::240::5::Fujitsu _x000D_
6::DVD drive::180::6::Winchester</v>
      </c>
      <c r="C78" t="b">
        <f t="shared" si="7"/>
        <v>1</v>
      </c>
      <c r="D78" t="s">
        <v>364</v>
      </c>
    </row>
    <row r="79" spans="1:5">
      <c r="A79" s="17" t="e">
        <f t="shared" ca="1" si="10"/>
        <v>#NAME?</v>
      </c>
      <c r="B79" t="str">
        <f>relJoin($B$14,$B$15,"NATURAL")</f>
        <v>eid::ename _x000D_
2::Creative Labs _x000D_
3::Hewlett Packard _x000D_
4::Iomega</v>
      </c>
      <c r="C79" t="b">
        <f t="shared" si="7"/>
        <v>1</v>
      </c>
      <c r="D79" t="s">
        <v>365</v>
      </c>
    </row>
    <row r="80" spans="1:5">
      <c r="A80" s="17" t="e">
        <f t="shared" ca="1" si="10"/>
        <v>#NAME?</v>
      </c>
      <c r="B80" t="str">
        <f>relJoin($B$13,$B$13,"$1=$1")</f>
        <v>pid_1::pname_1::price_1::pid_2::pname_2::price_2 _x000D_
1::Hard drive::240::1::Hard drive::240 _x000D_
1::Hard drive::240::2::Memory::120 _x000D_
1::Hard drive::240::3::ZIP drive::150 _x000D_
1::Hard drive::240::4::Floppy disk::5 _x000D_
1::Hard drive::240::5::Monitor::240 _x000D_
1::Hard drive::240::6::DVD drive::180 _x000D_
1::Hard drive::240::7::CD drive::90 _x000D_
1::Hard drive::240::8::Printer::270 _x000D_
1::Hard drive::240::9::Toner cartridge::66 _x000D_
1::Hard drive::240::10::DVD burner::180 _x000D_
2::Memory::120::1::Hard drive::240 _x000D_
2::Memory::120::2::Memory::120 _x000D_
2::Memory::120::3::ZIP drive::150 _x000D_
2::Memory::120::4::Floppy disk::5 _x000D_
2::Memory::120::5::Monitor::240 _x000D_
2::Memory::120::6::DVD drive::180 _x000D_
2::Memory::120::7::CD drive::90 _x000D_
2::Memory::120::8::Printer::270 _x000D_
2::Memory::120::9::Toner cartridge::66 _x000D_
2::Memory::120::10::DVD burner::180 _x000D_
3::ZIP drive::150::1::Hard drive::240 _x000D_
3::ZIP drive::150::2::Memory::120 _x000D_
3::ZIP drive::150::3::ZIP drive::150 _x000D_
3::ZIP drive::150::4::Floppy disk::5 _x000D_
3::ZIP drive::150::5::Monitor::240 _x000D_
3::ZIP drive::150::6::DVD drive::180 _x000D_
3::ZIP drive::150::7::CD drive::90 _x000D_
3::ZIP drive::150::8::Printer::270 _x000D_
3::ZIP drive::150::9::Toner cartridge::66 _x000D_
3::ZIP drive::150::10::DVD burner::180 _x000D_
4::Floppy disk::5::1::Hard drive::240 _x000D_
4::Floppy disk::5::2::Memory::120 _x000D_
4::Floppy disk::5::3::ZIP drive::150 _x000D_
4::Floppy disk::5::4::Floppy disk::5 _x000D_
4::Floppy disk::5::5::Monitor::240 _x000D_
4::Floppy disk::5::6::DVD drive::180 _x000D_
4::Floppy disk::5::7::CD drive::90 _x000D_
4::Floppy disk::5::8::Printer::270 _x000D_
4::Floppy disk::5::9::Toner cartridge::66 _x000D_
4::Floppy disk::5::10::DVD burner::180 _x000D_
5::Monitor::240::1::Hard drive::240 _x000D_
5::Monitor::240::2::Memory::120 _x000D_
5::Monitor::240::3::ZIP drive::150 _x000D_
5::Monitor::240::4::Floppy disk::5 _x000D_
5::Monitor::240::5::Monitor::240 _x000D_
5::Monitor::240::6::DVD drive::180 _x000D_
5::Monitor::240::7::CD drive::90 _x000D_
5::Monitor::240::8::Printer::270 _x000D_
5::Monitor::240::9::Toner cartridge::66 _x000D_
5::Monitor::240::10::DVD burner::180 _x000D_
6::DVD drive::180::1::Hard drive::240 _x000D_
6::DVD drive::180::2::Memory::120 _x000D_
6::DVD drive::180::3::ZIP drive::150 _x000D_
6::DVD drive::180::4::Floppy disk::5 _x000D_
6::DVD drive::180::5::Monitor::240 _x000D_
6::DVD drive::180::6::DVD drive::180 _x000D_
6::DVD drive::180::7::CD drive::90 _x000D_
6::DVD drive::180::8::Printer::270 _x000D_
6::DVD drive::180::9::Toner cartridge::66 _x000D_
6::DVD drive::180::10::DVD burner::180 _x000D_
7::CD drive::90::1::Hard drive::240 _x000D_
7::CD drive::90::2::Memory::120 _x000D_
7::CD drive::90::3::ZIP drive::150 _x000D_
7::CD drive::90::4::Floppy disk::5 _x000D_
7::CD drive::90::5::Monitor::240 _x000D_
7::CD drive::90::6::DVD drive::180 _x000D_
7::CD drive::90::7::CD drive::90 _x000D_
7::CD drive::90::8::Printer::270 _x000D_
7::CD drive::90::9::Toner cartridge::66 _x000D_
7::CD drive::90::10::DVD burner::180 _x000D_
8::Printer::270::1::Hard drive::240 _x000D_
8::Printer::270::2::Memory::120 _x000D_
8::Printer::270::3::ZIP drive::150 _x000D_
8::Printer::270::4::Floppy disk::5 _x000D_
8::Printer::270::5::Monitor::240 _x000D_
8::Printer::270::6::DVD drive::180 _x000D_
8::Printer::270::7::CD drive::90 _x000D_
8::Printer::270::8::Printer::270 _x000D_
8::Printer::270::9::Toner cartridge::66 _x000D_
8::Printer::270::10::DVD burner::180 _x000D_
9::Toner cartridge::66::1::Hard drive::240 _x000D_
9::Toner cartridge::66::2::Memory::120 _x000D_
9::Toner cartridge::66::3::ZIP drive::150 _x000D_
9::Toner cartridge::66::4::Floppy disk::5 _x000D_
9::Toner cartridge::66::5::Monitor::240 _x000D_
9::Toner cartridge::66::6::DVD drive::180 _x000D_
9::Toner cartridge::66::7::CD drive::90 _x000D_
9::Toner cartridge::66::8::Printer::270 _x000D_
9::Toner cartridge::66::9::Toner cartridge::66 _x000D_
9::Toner cartridge::66::10::DVD burner::180 _x000D_
10::DVD burner::180::1::Hard drive::240 _x000D_
10::DVD burner::180::2::Memory::120 _x000D_
10::DVD burner::180::3::ZIP drive::150 _x000D_
10::DVD burner::180::4::Floppy disk::5 _x000D_
10::DVD burner::180::5::Monitor::240 _x000D_
10::DVD burner::180::6::DVD drive::180 _x000D_
10::DVD burner::180::7::CD drive::90 _x000D_
10::DVD burner::180::8::Printer::270 _x000D_
10::DVD burner::180::9::Toner cartridge::66 _x000D_
10::DVD burner::180::10::DVD burner::180</v>
      </c>
      <c r="C80" t="b">
        <f t="shared" si="7"/>
        <v>1</v>
      </c>
      <c r="D80" t="s">
        <v>363</v>
      </c>
    </row>
    <row r="81" spans="1:5">
      <c r="A81" s="17" t="e">
        <f t="shared" ca="1" si="10"/>
        <v>#NAME?</v>
      </c>
      <c r="B81" t="str">
        <f>relJoin("",$B$12,"true")</f>
        <v/>
      </c>
      <c r="C81" t="b">
        <f t="shared" si="7"/>
        <v>1</v>
      </c>
      <c r="D81" t="s">
        <v>94</v>
      </c>
      <c r="E81" s="2" t="s">
        <v>97</v>
      </c>
    </row>
    <row r="82" spans="1:5">
      <c r="A82" s="17" t="e">
        <f t="shared" ca="1" si="10"/>
        <v>#NAME?</v>
      </c>
      <c r="B82" t="str">
        <f>relJoin($B$12,"","true")</f>
        <v/>
      </c>
      <c r="C82" t="b">
        <f t="shared" si="7"/>
        <v>1</v>
      </c>
      <c r="D82" t="s">
        <v>94</v>
      </c>
      <c r="E82" s="2" t="s">
        <v>97</v>
      </c>
    </row>
    <row r="83" spans="1:5">
      <c r="A83" s="17" t="e">
        <f t="shared" ca="1" si="10"/>
        <v>#NAME?</v>
      </c>
      <c r="B83" t="str">
        <f>relJoin("","","true")</f>
        <v/>
      </c>
      <c r="C83" t="b">
        <f t="shared" si="7"/>
        <v>1</v>
      </c>
      <c r="D83" t="s">
        <v>94</v>
      </c>
      <c r="E83" s="2" t="s">
        <v>97</v>
      </c>
    </row>
    <row r="84" spans="1:5">
      <c r="A84" s="17" t="e">
        <f t="shared" ca="1" si="10"/>
        <v>#NAME?</v>
      </c>
      <c r="B84" t="str">
        <f>relJoin($B$13,$B$14,"blabla")</f>
        <v>#ERROR CONDITION LINE  2/ 2 : =(blabla)</v>
      </c>
      <c r="C84" t="b">
        <f t="shared" si="7"/>
        <v>1</v>
      </c>
      <c r="D84" t="s">
        <v>366</v>
      </c>
    </row>
    <row r="85" spans="1:5">
      <c r="A85" s="17" t="e">
        <f t="shared" ca="1" si="10"/>
        <v>#NAME?</v>
      </c>
      <c r="B85" t="str">
        <f>relJoin($B$13,$B$14,"$1=$3",)</f>
        <v>pid::pname::price::eid::ename</v>
      </c>
      <c r="C85" t="b">
        <f t="shared" si="7"/>
        <v>1</v>
      </c>
      <c r="D85" t="s">
        <v>367</v>
      </c>
    </row>
    <row r="86" spans="1:5">
      <c r="A86" s="17"/>
    </row>
    <row r="87" spans="1:5">
      <c r="A87" s="17" t="e">
        <f t="shared" ca="1" si="10"/>
        <v>#NAME?</v>
      </c>
      <c r="B87" t="str">
        <f>relOrder($B$13,"3 9::2 A")</f>
        <v>pid::pname::price _x000D_
8::Printer::270 _x000D_
1::Hard drive::240 _x000D_
5::Monitor::240 _x000D_
6::DVD drive::180 _x000D_
10::DVD burner::180 _x000D_
3::ZIP drive::150 _x000D_
2::Memory::120 _x000D_
7::CD drive::90 _x000D_
9::Toner cartridge::66 _x000D_
4::Floppy disk::5</v>
      </c>
      <c r="C87" t="b">
        <f t="shared" si="7"/>
        <v>1</v>
      </c>
      <c r="D87" t="s">
        <v>368</v>
      </c>
    </row>
    <row r="88" spans="1:5">
      <c r="A88" s="17" t="e">
        <f t="shared" ca="1" si="10"/>
        <v>#NAME?</v>
      </c>
      <c r="B88" t="str">
        <f>relOrder($B$13,"3 9:blabla:2 A")</f>
        <v>#ERROR MODE 9:blabla:2</v>
      </c>
      <c r="C88" t="b">
        <f t="shared" si="7"/>
        <v>1</v>
      </c>
      <c r="D88" t="s">
        <v>95</v>
      </c>
    </row>
    <row r="89" spans="1:5">
      <c r="A89" s="17"/>
    </row>
    <row r="90" spans="1:5">
      <c r="A90" s="17" t="e">
        <f t="shared" ca="1" si="10"/>
        <v>#NAME?</v>
      </c>
      <c r="B90" t="str">
        <f>relCell($B$13,1,2)</f>
        <v>Hard drive</v>
      </c>
      <c r="C90" t="b">
        <f t="shared" si="7"/>
        <v>1</v>
      </c>
      <c r="D90" t="s">
        <v>9</v>
      </c>
    </row>
    <row r="91" spans="1:5">
      <c r="A91" s="17" t="e">
        <f t="shared" ca="1" si="10"/>
        <v>#NAME?</v>
      </c>
      <c r="B91" t="str">
        <f>relCell($B$13,2,99)</f>
        <v>#ERROR BOUNDS COLUMN:  99</v>
      </c>
      <c r="C91" t="b">
        <f t="shared" si="7"/>
        <v>1</v>
      </c>
      <c r="D91" t="s">
        <v>370</v>
      </c>
    </row>
    <row r="92" spans="1:5">
      <c r="A92" s="17" t="e">
        <f t="shared" ref="A92" ca="1" si="11">_1__xlfn.FORMULATEXT(B92)</f>
        <v>#NAME?</v>
      </c>
      <c r="B92" t="str">
        <f>relCell($B$13,99,2)</f>
        <v>#ERROR BOUNDS ROW:  99</v>
      </c>
      <c r="C92" t="b">
        <f t="shared" ref="C92" si="12">(B92=D92)</f>
        <v>1</v>
      </c>
      <c r="D92" t="s">
        <v>371</v>
      </c>
      <c r="E92" s="2"/>
    </row>
    <row r="93" spans="1:5">
      <c r="A93" s="17" t="e">
        <f t="shared" ca="1" si="10"/>
        <v>#NAME?</v>
      </c>
      <c r="B93" t="str">
        <f>relCell($B$13,2,99,0,1)</f>
        <v/>
      </c>
      <c r="C93" t="b">
        <f t="shared" si="7"/>
        <v>1</v>
      </c>
      <c r="E93" s="2"/>
    </row>
    <row r="94" spans="1:5">
      <c r="A94" s="17" t="e">
        <f t="shared" ref="A94" ca="1" si="13">_1__xlfn.FORMULATEXT(B94)</f>
        <v>#NAME?</v>
      </c>
      <c r="B94" t="str">
        <f>relCell($B$13,99,2,0,1)</f>
        <v/>
      </c>
      <c r="C94" t="b">
        <f t="shared" ref="C94" si="14">(B94=D94)</f>
        <v>1</v>
      </c>
      <c r="E94" s="2"/>
    </row>
    <row r="95" spans="1:5">
      <c r="A95" s="17" t="e">
        <f t="shared" ca="1" si="10"/>
        <v>#NAME?</v>
      </c>
      <c r="B95" t="str">
        <f>relCell($B$13,0,2)</f>
        <v>pname</v>
      </c>
      <c r="C95" t="b">
        <f t="shared" si="7"/>
        <v>1</v>
      </c>
      <c r="D95" t="s">
        <v>330</v>
      </c>
    </row>
    <row r="96" spans="1:5">
      <c r="A96" s="17" t="e">
        <f t="shared" ca="1" si="10"/>
        <v>#NAME?</v>
      </c>
      <c r="B96" t="str">
        <f>relCell("",1,1)</f>
        <v/>
      </c>
      <c r="C96" t="b">
        <f t="shared" si="7"/>
        <v>1</v>
      </c>
    </row>
    <row r="97" spans="1:4">
      <c r="A97" s="17" t="e">
        <f t="shared" ca="1" si="10"/>
        <v>#NAME?</v>
      </c>
      <c r="B97" t="str">
        <f>relCell("1::Sony",1,2)</f>
        <v>#ERROR BOUNDS ROW:  1</v>
      </c>
      <c r="C97" t="b">
        <f t="shared" si="7"/>
        <v>1</v>
      </c>
      <c r="D97" t="s">
        <v>369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Presentation</vt:lpstr>
      <vt:lpstr>Computer store</vt:lpstr>
      <vt:lpstr>Employees</vt:lpstr>
      <vt:lpstr>Warehouse</vt:lpstr>
      <vt:lpstr>Pieces and Providers</vt:lpstr>
      <vt:lpstr>Acounts</vt:lpstr>
      <vt:lpstr>Fixpoint</vt:lpstr>
      <vt:lpstr>Unit Test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Buercher</dc:creator>
  <cp:lastModifiedBy>Matthias Buercher</cp:lastModifiedBy>
  <dcterms:created xsi:type="dcterms:W3CDTF">2016-04-09T14:17:01Z</dcterms:created>
  <dcterms:modified xsi:type="dcterms:W3CDTF">2017-04-08T16:32:46Z</dcterms:modified>
</cp:coreProperties>
</file>